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Network Drives\Accounting\INVOICES\APPROVED BTI W BOL\2025\Job Rates\BD\Oosita Bizi\Oosita Quadra\"/>
    </mc:Choice>
  </mc:AlternateContent>
  <bookViews>
    <workbookView xWindow="-120" yWindow="-120" windowWidth="28920" windowHeight="12420"/>
  </bookViews>
  <sheets>
    <sheet name="Various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16" i="2" l="1"/>
  <c r="T11" i="2"/>
  <c r="U11" i="2" s="1"/>
  <c r="T12" i="2"/>
  <c r="U12" i="2" s="1"/>
  <c r="T13" i="2"/>
  <c r="U13" i="2" s="1"/>
  <c r="T14" i="2"/>
  <c r="U14" i="2" s="1"/>
  <c r="T15" i="2"/>
  <c r="U15" i="2" s="1"/>
  <c r="U16" i="2"/>
  <c r="T17" i="2"/>
  <c r="T18" i="2"/>
  <c r="T19" i="2"/>
  <c r="T20" i="2"/>
  <c r="T21" i="2"/>
  <c r="T22" i="2"/>
  <c r="U22" i="2" s="1"/>
  <c r="U4" i="2"/>
  <c r="U17" i="2"/>
  <c r="U18" i="2"/>
  <c r="U19" i="2"/>
  <c r="U20" i="2"/>
  <c r="U21" i="2"/>
  <c r="U23" i="2"/>
  <c r="A30" i="2" l="1"/>
  <c r="B30" i="2"/>
  <c r="C30" i="2"/>
  <c r="D30" i="2"/>
  <c r="F30" i="2"/>
  <c r="A31" i="2"/>
  <c r="B31" i="2"/>
  <c r="C31" i="2"/>
  <c r="D31" i="2"/>
  <c r="F31" i="2"/>
  <c r="A32" i="2"/>
  <c r="B32" i="2"/>
  <c r="C32" i="2"/>
  <c r="D32" i="2"/>
  <c r="F32" i="2"/>
  <c r="A33" i="2"/>
  <c r="B33" i="2"/>
  <c r="C33" i="2"/>
  <c r="D33" i="2"/>
  <c r="F33" i="2"/>
  <c r="A34" i="2"/>
  <c r="B34" i="2"/>
  <c r="C34" i="2"/>
  <c r="D34" i="2"/>
  <c r="F34" i="2"/>
  <c r="A35" i="2"/>
  <c r="B35" i="2"/>
  <c r="C35" i="2"/>
  <c r="D35" i="2"/>
  <c r="F35" i="2"/>
  <c r="A36" i="2"/>
  <c r="B36" i="2"/>
  <c r="C36" i="2"/>
  <c r="D36" i="2"/>
  <c r="F36" i="2"/>
  <c r="A37" i="2"/>
  <c r="B37" i="2"/>
  <c r="C37" i="2"/>
  <c r="D37" i="2"/>
  <c r="F37" i="2"/>
  <c r="A38" i="2"/>
  <c r="B38" i="2"/>
  <c r="C38" i="2"/>
  <c r="D38" i="2"/>
  <c r="F38" i="2"/>
  <c r="A39" i="2"/>
  <c r="B39" i="2"/>
  <c r="C39" i="2"/>
  <c r="D39" i="2"/>
  <c r="F39" i="2"/>
  <c r="A40" i="2"/>
  <c r="B40" i="2"/>
  <c r="C40" i="2"/>
  <c r="D40" i="2"/>
  <c r="F40" i="2"/>
  <c r="A41" i="2"/>
  <c r="B41" i="2"/>
  <c r="C41" i="2"/>
  <c r="D41" i="2"/>
  <c r="F41" i="2"/>
  <c r="A42" i="2"/>
  <c r="B42" i="2"/>
  <c r="C42" i="2"/>
  <c r="D42" i="2"/>
  <c r="F42" i="2"/>
  <c r="A43" i="2"/>
  <c r="B43" i="2"/>
  <c r="C43" i="2"/>
  <c r="D43" i="2"/>
  <c r="F43" i="2"/>
  <c r="A44" i="2"/>
  <c r="B44" i="2"/>
  <c r="C44" i="2"/>
  <c r="D44" i="2"/>
  <c r="F44" i="2"/>
  <c r="A45" i="2"/>
  <c r="B45" i="2"/>
  <c r="C45" i="2"/>
  <c r="D45" i="2"/>
  <c r="F45" i="2"/>
  <c r="A46" i="2"/>
  <c r="B46" i="2"/>
  <c r="C46" i="2"/>
  <c r="D46" i="2"/>
  <c r="F46" i="2"/>
  <c r="A47" i="2"/>
  <c r="B47" i="2"/>
  <c r="C47" i="2"/>
  <c r="D47" i="2"/>
  <c r="F47" i="2"/>
  <c r="A48" i="2"/>
  <c r="B48" i="2"/>
  <c r="C48" i="2"/>
  <c r="D48" i="2"/>
  <c r="F48" i="2"/>
  <c r="A49" i="2"/>
  <c r="B49" i="2"/>
  <c r="C49" i="2"/>
  <c r="D49" i="2"/>
  <c r="E49" i="2"/>
  <c r="F49" i="2"/>
  <c r="G49" i="2"/>
  <c r="H49" i="2"/>
  <c r="A50" i="2"/>
  <c r="B50" i="2"/>
  <c r="C50" i="2"/>
  <c r="D50" i="2"/>
  <c r="E50" i="2"/>
  <c r="F50" i="2"/>
  <c r="G50" i="2"/>
  <c r="H50" i="2"/>
  <c r="C29" i="2" l="1"/>
  <c r="C28" i="2"/>
  <c r="G4" i="2"/>
  <c r="X4" i="2" s="1"/>
  <c r="Z4" i="2" l="1"/>
  <c r="Y4" i="2"/>
  <c r="V4" i="2"/>
  <c r="J4" i="2"/>
  <c r="A29" i="2"/>
  <c r="B29" i="2"/>
  <c r="D29" i="2"/>
  <c r="B28" i="2"/>
  <c r="A28" i="2"/>
  <c r="R4" i="2" l="1"/>
  <c r="S4" i="2" s="1"/>
  <c r="AD4" i="2"/>
  <c r="AE4" i="2"/>
  <c r="G3" i="2"/>
  <c r="T4" i="2" l="1"/>
  <c r="F29" i="2"/>
  <c r="F28" i="2"/>
  <c r="D28" i="2"/>
  <c r="E29" i="2" l="1"/>
  <c r="AF4" i="2"/>
  <c r="AG4" i="2"/>
  <c r="G17" i="2"/>
  <c r="J17" i="2" s="1"/>
  <c r="G18" i="2"/>
  <c r="X18" i="2" s="1"/>
  <c r="G15" i="2"/>
  <c r="J15" i="2" s="1"/>
  <c r="I15" i="2" s="1"/>
  <c r="J18" i="2" l="1"/>
  <c r="R18" i="2" s="1"/>
  <c r="S18" i="2" s="1"/>
  <c r="X15" i="2"/>
  <c r="V15" i="2" s="1"/>
  <c r="G40" i="2" s="1"/>
  <c r="X17" i="2"/>
  <c r="V17" i="2" s="1"/>
  <c r="G42" i="2" s="1"/>
  <c r="Y18" i="2"/>
  <c r="H43" i="2" s="1"/>
  <c r="Z18" i="2"/>
  <c r="V18" i="2"/>
  <c r="G43" i="2" s="1"/>
  <c r="R17" i="2"/>
  <c r="S17" i="2" s="1"/>
  <c r="R15" i="2"/>
  <c r="S15" i="2" s="1"/>
  <c r="E42" i="2" l="1"/>
  <c r="E40" i="2"/>
  <c r="E43" i="2"/>
  <c r="AH18" i="2"/>
  <c r="Y15" i="2"/>
  <c r="H40" i="2" s="1"/>
  <c r="Z15" i="2"/>
  <c r="AG15" i="2" s="1"/>
  <c r="Y17" i="2"/>
  <c r="H42" i="2" s="1"/>
  <c r="Z17" i="2"/>
  <c r="AE18" i="2"/>
  <c r="AD18" i="2"/>
  <c r="G19" i="2"/>
  <c r="J19" i="2" s="1"/>
  <c r="I19" i="2" s="1"/>
  <c r="G20" i="2"/>
  <c r="J20" i="2" s="1"/>
  <c r="I20" i="2" s="1"/>
  <c r="G21" i="2"/>
  <c r="X21" i="2" s="1"/>
  <c r="G22" i="2"/>
  <c r="J22" i="2" s="1"/>
  <c r="I22" i="2" s="1"/>
  <c r="G23" i="2"/>
  <c r="J23" i="2" s="1"/>
  <c r="I23" i="2" s="1"/>
  <c r="AH15" i="2" l="1"/>
  <c r="AH17" i="2"/>
  <c r="AG18" i="2"/>
  <c r="AF18" i="2"/>
  <c r="AF15" i="2"/>
  <c r="AE15" i="2"/>
  <c r="X23" i="2"/>
  <c r="V23" i="2" s="1"/>
  <c r="G48" i="2" s="1"/>
  <c r="AD15" i="2"/>
  <c r="AE17" i="2"/>
  <c r="AG17" i="2"/>
  <c r="AF17" i="2"/>
  <c r="AD17" i="2"/>
  <c r="X20" i="2"/>
  <c r="Z20" i="2" s="1"/>
  <c r="AE20" i="2" s="1"/>
  <c r="J21" i="2"/>
  <c r="R23" i="2"/>
  <c r="R22" i="2"/>
  <c r="V21" i="2"/>
  <c r="G46" i="2" s="1"/>
  <c r="R20" i="2"/>
  <c r="R19" i="2"/>
  <c r="X22" i="2"/>
  <c r="X19" i="2"/>
  <c r="V20" i="2" l="1"/>
  <c r="G45" i="2" s="1"/>
  <c r="S23" i="2"/>
  <c r="Y23" i="2"/>
  <c r="H48" i="2" s="1"/>
  <c r="Z23" i="2"/>
  <c r="AE23" i="2" s="1"/>
  <c r="Y20" i="2"/>
  <c r="H45" i="2" s="1"/>
  <c r="I21" i="2"/>
  <c r="R21" i="2" s="1"/>
  <c r="S22" i="2"/>
  <c r="S20" i="2"/>
  <c r="S19" i="2"/>
  <c r="V19" i="2"/>
  <c r="G44" i="2" s="1"/>
  <c r="Y19" i="2"/>
  <c r="H44" i="2" s="1"/>
  <c r="Z19" i="2"/>
  <c r="V22" i="2"/>
  <c r="G47" i="2" s="1"/>
  <c r="Y22" i="2"/>
  <c r="H47" i="2" s="1"/>
  <c r="Z22" i="2"/>
  <c r="G14" i="2"/>
  <c r="J14" i="2" s="1"/>
  <c r="I14" i="2" s="1"/>
  <c r="G16" i="2"/>
  <c r="X16" i="2" s="1"/>
  <c r="G11" i="2"/>
  <c r="J11" i="2" s="1"/>
  <c r="G12" i="2"/>
  <c r="X12" i="2" s="1"/>
  <c r="J12" i="2"/>
  <c r="I12" i="2" s="1"/>
  <c r="R12" i="2" s="1"/>
  <c r="G13" i="2"/>
  <c r="X13" i="2" s="1"/>
  <c r="E45" i="2" l="1"/>
  <c r="E47" i="2"/>
  <c r="E44" i="2"/>
  <c r="T23" i="2"/>
  <c r="E48" i="2"/>
  <c r="AD23" i="2"/>
  <c r="AF20" i="2"/>
  <c r="AD20" i="2"/>
  <c r="J13" i="2"/>
  <c r="I13" i="2" s="1"/>
  <c r="R13" i="2" s="1"/>
  <c r="S13" i="2" s="1"/>
  <c r="S21" i="2"/>
  <c r="Y12" i="2"/>
  <c r="H37" i="2" s="1"/>
  <c r="Z21" i="2"/>
  <c r="AE21" i="2" s="1"/>
  <c r="Y21" i="2"/>
  <c r="H46" i="2" s="1"/>
  <c r="S12" i="2"/>
  <c r="J16" i="2"/>
  <c r="AG20" i="2"/>
  <c r="AH20" i="2"/>
  <c r="AE22" i="2"/>
  <c r="AD22" i="2"/>
  <c r="AF22" i="2"/>
  <c r="AE19" i="2"/>
  <c r="AD19" i="2"/>
  <c r="X14" i="2"/>
  <c r="Y14" i="2" s="1"/>
  <c r="H39" i="2" s="1"/>
  <c r="V16" i="2"/>
  <c r="G41" i="2" s="1"/>
  <c r="R14" i="2"/>
  <c r="V13" i="2"/>
  <c r="G38" i="2" s="1"/>
  <c r="I11" i="2"/>
  <c r="R11" i="2" s="1"/>
  <c r="V12" i="2"/>
  <c r="G37" i="2" s="1"/>
  <c r="X11" i="2"/>
  <c r="Z12" i="2"/>
  <c r="G10" i="2"/>
  <c r="J10" i="2" s="1"/>
  <c r="AF19" i="2" l="1"/>
  <c r="AH23" i="2"/>
  <c r="AH22" i="2"/>
  <c r="AG19" i="2"/>
  <c r="AG22" i="2"/>
  <c r="AH19" i="2"/>
  <c r="E37" i="2"/>
  <c r="E46" i="2"/>
  <c r="E38" i="2"/>
  <c r="AF23" i="2"/>
  <c r="AG23" i="2"/>
  <c r="Z14" i="2"/>
  <c r="AE14" i="2" s="1"/>
  <c r="Z13" i="2"/>
  <c r="AE13" i="2" s="1"/>
  <c r="Y13" i="2"/>
  <c r="AD12" i="2"/>
  <c r="R16" i="2"/>
  <c r="Z16" i="2"/>
  <c r="AE16" i="2" s="1"/>
  <c r="Y16" i="2"/>
  <c r="H41" i="2" s="1"/>
  <c r="S11" i="2"/>
  <c r="AD21" i="2"/>
  <c r="V14" i="2"/>
  <c r="G39" i="2" s="1"/>
  <c r="S14" i="2"/>
  <c r="AD14" i="2"/>
  <c r="AE12" i="2"/>
  <c r="V11" i="2"/>
  <c r="G36" i="2" s="1"/>
  <c r="Y11" i="2"/>
  <c r="H36" i="2" s="1"/>
  <c r="Z11" i="2"/>
  <c r="I10" i="2"/>
  <c r="R10" i="2" s="1"/>
  <c r="X10" i="2"/>
  <c r="AG21" i="2" l="1"/>
  <c r="AH21" i="2"/>
  <c r="AH12" i="2"/>
  <c r="AF21" i="2"/>
  <c r="AF12" i="2"/>
  <c r="AH13" i="2"/>
  <c r="AD13" i="2"/>
  <c r="H38" i="2"/>
  <c r="E39" i="2"/>
  <c r="AG12" i="2"/>
  <c r="E36" i="2"/>
  <c r="AF13" i="2"/>
  <c r="AG13" i="2"/>
  <c r="AD16" i="2"/>
  <c r="S16" i="2"/>
  <c r="AE11" i="2"/>
  <c r="AD11" i="2"/>
  <c r="S10" i="2"/>
  <c r="T10" i="2" s="1"/>
  <c r="V10" i="2"/>
  <c r="G35" i="2" s="1"/>
  <c r="Z10" i="2"/>
  <c r="Y10" i="2"/>
  <c r="H35" i="2" s="1"/>
  <c r="U10" i="2" l="1"/>
  <c r="E35" i="2"/>
  <c r="AG14" i="2"/>
  <c r="AF14" i="2"/>
  <c r="AH11" i="2"/>
  <c r="AH14" i="2"/>
  <c r="AF11" i="2"/>
  <c r="AG11" i="2"/>
  <c r="E41" i="2"/>
  <c r="AF10" i="2"/>
  <c r="AF16" i="2"/>
  <c r="AD10" i="2"/>
  <c r="AE10" i="2"/>
  <c r="AG16" i="2" l="1"/>
  <c r="AH16" i="2"/>
  <c r="AH10" i="2"/>
  <c r="AG10" i="2"/>
  <c r="G9" i="2"/>
  <c r="J9" i="2" s="1"/>
  <c r="R9" i="2" s="1"/>
  <c r="S9" i="2" l="1"/>
  <c r="T9" i="2" s="1"/>
  <c r="X9" i="2"/>
  <c r="E34" i="2" l="1"/>
  <c r="U9" i="2"/>
  <c r="V9" i="2"/>
  <c r="G34" i="2" s="1"/>
  <c r="Z9" i="2"/>
  <c r="Y9" i="2"/>
  <c r="H34" i="2" s="1"/>
  <c r="AH9" i="2" l="1"/>
  <c r="AG9" i="2"/>
  <c r="AE9" i="2"/>
  <c r="AD9" i="2"/>
  <c r="AF9" i="2"/>
  <c r="G8" i="2" l="1"/>
  <c r="J8" i="2" s="1"/>
  <c r="I8" i="2" l="1"/>
  <c r="R8" i="2" s="1"/>
  <c r="X8" i="2"/>
  <c r="S8" i="2" l="1"/>
  <c r="T8" i="2" s="1"/>
  <c r="Z8" i="2"/>
  <c r="Y8" i="2"/>
  <c r="H33" i="2" s="1"/>
  <c r="V8" i="2"/>
  <c r="G33" i="2" s="1"/>
  <c r="E33" i="2" l="1"/>
  <c r="U8" i="2"/>
  <c r="AD8" i="2"/>
  <c r="AE8" i="2"/>
  <c r="AG8" i="2" l="1"/>
  <c r="AF8" i="2"/>
  <c r="AH8" i="2"/>
  <c r="G7" i="2"/>
  <c r="J7" i="2" s="1"/>
  <c r="I7" i="2" l="1"/>
  <c r="R7" i="2" s="1"/>
  <c r="X7" i="2"/>
  <c r="S7" i="2" l="1"/>
  <c r="T7" i="2" s="1"/>
  <c r="Z7" i="2"/>
  <c r="Y7" i="2"/>
  <c r="H32" i="2" s="1"/>
  <c r="V7" i="2"/>
  <c r="G32" i="2" s="1"/>
  <c r="U7" i="2" l="1"/>
  <c r="E32" i="2"/>
  <c r="AE7" i="2"/>
  <c r="AD7" i="2"/>
  <c r="AF7" i="2" l="1"/>
  <c r="AG7" i="2"/>
  <c r="AH7" i="2"/>
  <c r="G6" i="2"/>
  <c r="X6" i="2" s="1"/>
  <c r="J6" i="2" l="1"/>
  <c r="V6" i="2"/>
  <c r="G31" i="2" s="1"/>
  <c r="I6" i="2" l="1"/>
  <c r="Z6" i="2" l="1"/>
  <c r="Y6" i="2"/>
  <c r="H31" i="2" s="1"/>
  <c r="R6" i="2"/>
  <c r="G5" i="2"/>
  <c r="J5" i="2" s="1"/>
  <c r="AD6" i="2" l="1"/>
  <c r="S6" i="2"/>
  <c r="T6" i="2" s="1"/>
  <c r="AE6" i="2"/>
  <c r="I5" i="2"/>
  <c r="R5" i="2" s="1"/>
  <c r="X5" i="2"/>
  <c r="E31" i="2" l="1"/>
  <c r="U6" i="2"/>
  <c r="S5" i="2"/>
  <c r="T5" i="2" s="1"/>
  <c r="V5" i="2"/>
  <c r="G30" i="2" s="1"/>
  <c r="Z5" i="2"/>
  <c r="Y5" i="2"/>
  <c r="H30" i="2" s="1"/>
  <c r="U5" i="2" l="1"/>
  <c r="E30" i="2"/>
  <c r="AF6" i="2"/>
  <c r="AH6" i="2"/>
  <c r="AG6" i="2"/>
  <c r="AH5" i="2"/>
  <c r="AD5" i="2"/>
  <c r="AE5" i="2"/>
  <c r="AG5" i="2" l="1"/>
  <c r="AF5" i="2"/>
  <c r="G29" i="2"/>
  <c r="H29" i="2" l="1"/>
  <c r="AH4" i="2" l="1"/>
  <c r="A26" i="2" l="1"/>
  <c r="J3" i="2" l="1"/>
  <c r="R3" i="2" s="1"/>
  <c r="X3" i="2"/>
  <c r="Z3" i="2" l="1"/>
  <c r="Y3" i="2"/>
  <c r="H28" i="2" s="1"/>
  <c r="V3" i="2"/>
  <c r="G28" i="2" s="1"/>
  <c r="S3" i="2" l="1"/>
  <c r="AD3" i="2"/>
  <c r="AE3" i="2"/>
  <c r="T3" i="2" l="1"/>
  <c r="U3" i="2" l="1"/>
  <c r="E28" i="2"/>
  <c r="AF3" i="2"/>
  <c r="AH3" i="2"/>
  <c r="AG3" i="2"/>
</calcChain>
</file>

<file path=xl/comments1.xml><?xml version="1.0" encoding="utf-8"?>
<comments xmlns="http://schemas.openxmlformats.org/spreadsheetml/2006/main">
  <authors>
    <author>Ryan</author>
    <author>Ryan Brown</author>
  </authors>
  <commentList>
    <comment ref="W2" authorId="0" shapeId="0">
      <text>
        <r>
          <rPr>
            <b/>
            <sz val="9"/>
            <color indexed="81"/>
            <rFont val="Tahoma"/>
            <family val="2"/>
          </rPr>
          <t>Ryan:</t>
        </r>
        <r>
          <rPr>
            <sz val="9"/>
            <color indexed="81"/>
            <rFont val="Tahoma"/>
            <family val="2"/>
          </rPr>
          <t xml:space="preserve">
after allotted time
</t>
        </r>
      </text>
    </comment>
    <comment ref="AB2" authorId="1" shapeId="0">
      <text>
        <r>
          <rPr>
            <b/>
            <sz val="9"/>
            <color indexed="81"/>
            <rFont val="Tahoma"/>
            <family val="2"/>
          </rPr>
          <t>Ryan Brown:</t>
        </r>
        <r>
          <rPr>
            <sz val="9"/>
            <color indexed="81"/>
            <rFont val="Tahoma"/>
            <family val="2"/>
          </rPr>
          <t xml:space="preserve">
These are base rates for o/o. Their flat rate payout includes 85% of FSC and Chains</t>
        </r>
      </text>
    </comment>
    <comment ref="AC2" authorId="1" shapeId="0">
      <text>
        <r>
          <rPr>
            <b/>
            <sz val="9"/>
            <color indexed="81"/>
            <rFont val="Tahoma"/>
            <family val="2"/>
          </rPr>
          <t>Ryan Brown:</t>
        </r>
        <r>
          <rPr>
            <sz val="9"/>
            <color indexed="81"/>
            <rFont val="Tahoma"/>
            <family val="2"/>
          </rPr>
          <t xml:space="preserve">
These are base rates for o/o. Their flat rate payout includes 85% of FSC and Chains</t>
        </r>
      </text>
    </comment>
  </commentList>
</comments>
</file>

<file path=xl/sharedStrings.xml><?xml version="1.0" encoding="utf-8"?>
<sst xmlns="http://schemas.openxmlformats.org/spreadsheetml/2006/main" count="88" uniqueCount="64">
  <si>
    <t>Target o/o</t>
  </si>
  <si>
    <t>Target Bizi</t>
  </si>
  <si>
    <t>hrs</t>
  </si>
  <si>
    <t>driver Pay</t>
  </si>
  <si>
    <t>Per Trip</t>
  </si>
  <si>
    <t>chains</t>
  </si>
  <si>
    <t>driving $</t>
  </si>
  <si>
    <t>fuel Sur</t>
  </si>
  <si>
    <t>Speed</t>
  </si>
  <si>
    <t>drive hrs</t>
  </si>
  <si>
    <t>rate $</t>
  </si>
  <si>
    <t>load</t>
  </si>
  <si>
    <t>unload $</t>
  </si>
  <si>
    <t>MT Rate</t>
  </si>
  <si>
    <t>o/o Bizi</t>
  </si>
  <si>
    <t>o/o Own</t>
  </si>
  <si>
    <t>% own</t>
  </si>
  <si>
    <t>(h) w Bizi</t>
  </si>
  <si>
    <t>(h) own</t>
  </si>
  <si>
    <t>% o/o Bizi</t>
  </si>
  <si>
    <t>Revenue Share</t>
  </si>
  <si>
    <t>Origin</t>
  </si>
  <si>
    <t>Bizi Pay</t>
  </si>
  <si>
    <t>Bizi driver</t>
  </si>
  <si>
    <t>Target  Pay</t>
  </si>
  <si>
    <t>o/o Hourly</t>
  </si>
  <si>
    <t>Standby</t>
  </si>
  <si>
    <t xml:space="preserve">unload </t>
  </si>
  <si>
    <t>load $</t>
  </si>
  <si>
    <t>MT</t>
  </si>
  <si>
    <t>dist. 1 way</t>
  </si>
  <si>
    <t>Misc. $130</t>
  </si>
  <si>
    <t xml:space="preserve">standby </t>
  </si>
  <si>
    <t>Flush Charge</t>
  </si>
  <si>
    <t>Rev (40MT)</t>
  </si>
  <si>
    <t>KM 1 way</t>
  </si>
  <si>
    <t>Destination</t>
  </si>
  <si>
    <t>Product</t>
  </si>
  <si>
    <t>Chains</t>
  </si>
  <si>
    <t>Diverson</t>
  </si>
  <si>
    <t>Preload Request</t>
  </si>
  <si>
    <t>Per event</t>
  </si>
  <si>
    <t>&gt; Lane Rate</t>
  </si>
  <si>
    <t>Various</t>
  </si>
  <si>
    <t>Day Before</t>
  </si>
  <si>
    <t>Equipment</t>
  </si>
  <si>
    <t>Super B</t>
  </si>
  <si>
    <t>Tridem</t>
  </si>
  <si>
    <t>Edmonton, AB</t>
  </si>
  <si>
    <t>Trip Rate</t>
  </si>
  <si>
    <t>FSC to be added at time of delivery</t>
  </si>
  <si>
    <t>&gt;3.0</t>
  </si>
  <si>
    <t>Kearl Lake</t>
  </si>
  <si>
    <t>Glycol</t>
  </si>
  <si>
    <t>Sulphuric</t>
  </si>
  <si>
    <t>Cold Lake</t>
  </si>
  <si>
    <t>Caustic</t>
  </si>
  <si>
    <t>Dry Van</t>
  </si>
  <si>
    <t>Toluene</t>
  </si>
  <si>
    <t>Fort Saskatchewan, AB</t>
  </si>
  <si>
    <t>Brooks, AB</t>
  </si>
  <si>
    <t>Calcium Chloride</t>
  </si>
  <si>
    <t>Methyl Alcohol</t>
  </si>
  <si>
    <t>Hourly w/ FSC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</si>
</sst>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  <numFmt numFmtId="165" formatCode="0.000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2" fontId="0" fillId="0" borderId="1" xfId="0" applyNumberFormat="1" applyBorder="1"/>
    <xf numFmtId="0" fontId="0" fillId="0" borderId="1" xfId="0" applyBorder="1"/>
    <xf numFmtId="8" fontId="0" fillId="0" borderId="1" xfId="0" applyNumberFormat="1" applyBorder="1"/>
    <xf numFmtId="8" fontId="0" fillId="2" borderId="1" xfId="0" applyNumberFormat="1" applyFill="1" applyBorder="1"/>
    <xf numFmtId="0" fontId="0" fillId="3" borderId="1" xfId="0" applyFill="1" applyBorder="1"/>
    <xf numFmtId="4" fontId="0" fillId="0" borderId="1" xfId="0" applyNumberFormat="1" applyBorder="1"/>
    <xf numFmtId="4" fontId="0" fillId="3" borderId="1" xfId="0" applyNumberFormat="1" applyFill="1" applyBorder="1"/>
    <xf numFmtId="0" fontId="0" fillId="4" borderId="1" xfId="0" applyFill="1" applyBorder="1" applyAlignment="1">
      <alignment horizontal="left"/>
    </xf>
    <xf numFmtId="0" fontId="0" fillId="2" borderId="1" xfId="0" applyFill="1" applyBorder="1"/>
    <xf numFmtId="0" fontId="0" fillId="0" borderId="0" xfId="0" applyBorder="1"/>
    <xf numFmtId="2" fontId="0" fillId="0" borderId="0" xfId="0" applyNumberFormat="1" applyBorder="1"/>
    <xf numFmtId="0" fontId="0" fillId="3" borderId="0" xfId="0" applyFill="1" applyBorder="1"/>
    <xf numFmtId="4" fontId="0" fillId="0" borderId="0" xfId="0" applyNumberFormat="1" applyBorder="1"/>
    <xf numFmtId="0" fontId="0" fillId="0" borderId="1" xfId="0" applyBorder="1" applyAlignment="1">
      <alignment horizontal="right"/>
    </xf>
    <xf numFmtId="10" fontId="0" fillId="0" borderId="1" xfId="0" applyNumberFormat="1" applyBorder="1"/>
    <xf numFmtId="0" fontId="0" fillId="0" borderId="2" xfId="0" applyBorder="1"/>
    <xf numFmtId="0" fontId="0" fillId="5" borderId="3" xfId="0" applyFill="1" applyBorder="1"/>
    <xf numFmtId="0" fontId="0" fillId="5" borderId="4" xfId="0" applyFill="1" applyBorder="1"/>
    <xf numFmtId="164" fontId="0" fillId="0" borderId="1" xfId="0" applyNumberFormat="1" applyBorder="1"/>
    <xf numFmtId="0" fontId="3" fillId="7" borderId="1" xfId="0" applyFont="1" applyFill="1" applyBorder="1"/>
    <xf numFmtId="164" fontId="0" fillId="0" borderId="1" xfId="0" applyNumberFormat="1" applyFill="1" applyBorder="1"/>
    <xf numFmtId="0" fontId="3" fillId="4" borderId="3" xfId="0" applyFont="1" applyFill="1" applyBorder="1"/>
    <xf numFmtId="0" fontId="3" fillId="4" borderId="1" xfId="0" applyFont="1" applyFill="1" applyBorder="1"/>
    <xf numFmtId="8" fontId="0" fillId="0" borderId="0" xfId="0" applyNumberFormat="1"/>
    <xf numFmtId="0" fontId="0" fillId="0" borderId="0" xfId="0" applyFill="1" applyBorder="1"/>
    <xf numFmtId="0" fontId="3" fillId="0" borderId="0" xfId="0" applyFont="1" applyFill="1" applyBorder="1"/>
    <xf numFmtId="44" fontId="0" fillId="0" borderId="0" xfId="0" applyNumberFormat="1" applyFill="1" applyBorder="1" applyAlignment="1">
      <alignment horizontal="right"/>
    </xf>
    <xf numFmtId="2" fontId="0" fillId="0" borderId="0" xfId="0" applyNumberFormat="1" applyFill="1" applyBorder="1"/>
    <xf numFmtId="2" fontId="0" fillId="0" borderId="0" xfId="0" applyNumberFormat="1" applyFill="1" applyBorder="1" applyAlignment="1">
      <alignment horizontal="right"/>
    </xf>
    <xf numFmtId="165" fontId="0" fillId="0" borderId="0" xfId="0" applyNumberFormat="1"/>
    <xf numFmtId="164" fontId="0" fillId="0" borderId="0" xfId="0" applyNumberFormat="1" applyBorder="1"/>
    <xf numFmtId="3" fontId="0" fillId="0" borderId="1" xfId="0" applyNumberFormat="1" applyBorder="1"/>
    <xf numFmtId="0" fontId="0" fillId="0" borderId="0" xfId="0" applyFill="1"/>
    <xf numFmtId="166" fontId="0" fillId="0" borderId="1" xfId="0" applyNumberFormat="1" applyBorder="1"/>
    <xf numFmtId="4" fontId="0" fillId="3" borderId="0" xfId="0" applyNumberFormat="1" applyFill="1" applyBorder="1"/>
    <xf numFmtId="8" fontId="0" fillId="0" borderId="0" xfId="0" applyNumberFormat="1" applyBorder="1"/>
    <xf numFmtId="10" fontId="0" fillId="0" borderId="0" xfId="0" applyNumberFormat="1" applyBorder="1"/>
    <xf numFmtId="0" fontId="0" fillId="0" borderId="0" xfId="0" applyFill="1" applyBorder="1" applyAlignment="1">
      <alignment horizontal="left"/>
    </xf>
    <xf numFmtId="0" fontId="0" fillId="4" borderId="0" xfId="0" applyFill="1" applyBorder="1" applyAlignment="1">
      <alignment horizontal="left"/>
    </xf>
    <xf numFmtId="8" fontId="0" fillId="0" borderId="0" xfId="0" applyNumberFormat="1" applyFill="1" applyBorder="1"/>
    <xf numFmtId="8" fontId="0" fillId="8" borderId="1" xfId="0" applyNumberFormat="1" applyFill="1" applyBorder="1"/>
    <xf numFmtId="0" fontId="0" fillId="0" borderId="1" xfId="0" applyFill="1" applyBorder="1"/>
    <xf numFmtId="0" fontId="0" fillId="4" borderId="1" xfId="0" applyFill="1" applyBorder="1" applyAlignment="1"/>
    <xf numFmtId="164" fontId="0" fillId="0" borderId="1" xfId="0" applyNumberFormat="1" applyFill="1" applyBorder="1" applyAlignment="1">
      <alignment horizontal="right"/>
    </xf>
    <xf numFmtId="0" fontId="0" fillId="4" borderId="3" xfId="0" applyFill="1" applyBorder="1" applyAlignment="1"/>
    <xf numFmtId="1" fontId="0" fillId="3" borderId="1" xfId="0" applyNumberFormat="1" applyFill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C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64"/>
  <sheetViews>
    <sheetView tabSelected="1" zoomScale="90" zoomScaleNormal="90" workbookViewId="0">
      <selection activeCell="G11" sqref="G11"/>
    </sheetView>
  </sheetViews>
  <sheetFormatPr defaultRowHeight="15" x14ac:dyDescent="0.25"/>
  <cols>
    <col min="1" max="1" width="25.28515625" customWidth="1"/>
    <col min="2" max="2" width="31.42578125" customWidth="1"/>
    <col min="3" max="3" width="13.28515625" customWidth="1"/>
    <col min="4" max="4" width="16.7109375" customWidth="1"/>
    <col min="5" max="5" width="16.42578125" customWidth="1"/>
    <col min="6" max="6" width="13" customWidth="1"/>
    <col min="7" max="8" width="12.28515625" customWidth="1"/>
    <col min="9" max="9" width="10" bestFit="1" customWidth="1"/>
    <col min="10" max="10" width="14.42578125" customWidth="1"/>
    <col min="11" max="11" width="13.42578125" customWidth="1"/>
    <col min="12" max="12" width="4.5703125" bestFit="1" customWidth="1"/>
    <col min="13" max="13" width="7" bestFit="1" customWidth="1"/>
    <col min="14" max="14" width="10.85546875" customWidth="1"/>
    <col min="15" max="15" width="11.28515625" customWidth="1"/>
    <col min="16" max="16" width="5" bestFit="1" customWidth="1"/>
    <col min="17" max="17" width="9.28515625" bestFit="1" customWidth="1"/>
    <col min="18" max="18" width="11.7109375" customWidth="1"/>
    <col min="19" max="19" width="11.42578125" customWidth="1"/>
    <col min="20" max="20" width="12.42578125" customWidth="1"/>
    <col min="21" max="21" width="13.42578125" bestFit="1" customWidth="1"/>
    <col min="22" max="22" width="11.28515625" customWidth="1"/>
    <col min="23" max="23" width="8.85546875" customWidth="1"/>
    <col min="24" max="24" width="7.28515625" customWidth="1"/>
    <col min="25" max="25" width="20.85546875" customWidth="1"/>
    <col min="26" max="26" width="14.7109375" customWidth="1"/>
    <col min="27" max="28" width="9.85546875" bestFit="1" customWidth="1"/>
    <col min="29" max="29" width="8.42578125" bestFit="1" customWidth="1"/>
    <col min="30" max="30" width="8.85546875" bestFit="1" customWidth="1"/>
    <col min="31" max="31" width="16.42578125" customWidth="1"/>
    <col min="32" max="32" width="9.42578125" bestFit="1" customWidth="1"/>
    <col min="33" max="33" width="14.28515625" customWidth="1"/>
    <col min="34" max="34" width="9.5703125" bestFit="1" customWidth="1"/>
  </cols>
  <sheetData>
    <row r="1" spans="1:34" ht="15.75" thickBot="1" x14ac:dyDescent="0.3">
      <c r="A1" s="50" t="s">
        <v>43</v>
      </c>
      <c r="B1" s="50"/>
      <c r="C1" s="50"/>
      <c r="D1" s="50"/>
      <c r="E1" s="50"/>
      <c r="F1" s="13"/>
      <c r="G1" s="13"/>
      <c r="H1" s="13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2"/>
      <c r="U1" s="12"/>
      <c r="V1" s="10"/>
      <c r="W1" s="10"/>
      <c r="X1" s="11"/>
      <c r="Y1" s="10"/>
      <c r="Z1" s="10"/>
      <c r="AA1" s="47" t="s">
        <v>24</v>
      </c>
      <c r="AB1" s="48"/>
      <c r="AC1" s="49"/>
      <c r="AD1" s="47" t="s">
        <v>25</v>
      </c>
      <c r="AE1" s="49"/>
      <c r="AF1" s="47" t="s">
        <v>20</v>
      </c>
      <c r="AG1" s="48"/>
      <c r="AH1" s="49"/>
    </row>
    <row r="2" spans="1:34" x14ac:dyDescent="0.25">
      <c r="A2" s="43" t="s">
        <v>21</v>
      </c>
      <c r="B2" s="43" t="s">
        <v>36</v>
      </c>
      <c r="C2" s="43" t="s">
        <v>45</v>
      </c>
      <c r="D2" s="43" t="s">
        <v>37</v>
      </c>
      <c r="E2" s="2" t="s">
        <v>30</v>
      </c>
      <c r="F2" s="6" t="s">
        <v>10</v>
      </c>
      <c r="G2" s="6" t="s">
        <v>9</v>
      </c>
      <c r="H2" s="6" t="s">
        <v>8</v>
      </c>
      <c r="I2" s="2" t="s">
        <v>7</v>
      </c>
      <c r="J2" s="2" t="s">
        <v>6</v>
      </c>
      <c r="K2" s="2" t="s">
        <v>5</v>
      </c>
      <c r="L2" s="2" t="s">
        <v>11</v>
      </c>
      <c r="M2" s="2" t="s">
        <v>27</v>
      </c>
      <c r="N2" s="2" t="s">
        <v>28</v>
      </c>
      <c r="O2" s="2" t="s">
        <v>12</v>
      </c>
      <c r="P2" s="2" t="s">
        <v>29</v>
      </c>
      <c r="Q2" s="2" t="s">
        <v>31</v>
      </c>
      <c r="R2" s="2" t="s">
        <v>4</v>
      </c>
      <c r="S2" s="2" t="s">
        <v>13</v>
      </c>
      <c r="T2" s="9" t="s">
        <v>34</v>
      </c>
      <c r="U2" s="9" t="s">
        <v>63</v>
      </c>
      <c r="V2" s="2" t="s">
        <v>3</v>
      </c>
      <c r="W2" s="2" t="s">
        <v>32</v>
      </c>
      <c r="X2" s="1" t="s">
        <v>2</v>
      </c>
      <c r="Y2" s="2" t="s">
        <v>14</v>
      </c>
      <c r="Z2" s="2" t="s">
        <v>15</v>
      </c>
      <c r="AA2" s="17" t="s">
        <v>1</v>
      </c>
      <c r="AB2" s="17" t="s">
        <v>0</v>
      </c>
      <c r="AC2" s="18" t="s">
        <v>15</v>
      </c>
      <c r="AD2" s="17" t="s">
        <v>17</v>
      </c>
      <c r="AE2" s="17" t="s">
        <v>18</v>
      </c>
      <c r="AF2" s="17" t="s">
        <v>19</v>
      </c>
      <c r="AG2" s="17" t="s">
        <v>16</v>
      </c>
      <c r="AH2" s="17" t="s">
        <v>23</v>
      </c>
    </row>
    <row r="3" spans="1:34" x14ac:dyDescent="0.25">
      <c r="A3" s="2" t="s">
        <v>48</v>
      </c>
      <c r="B3" s="2" t="s">
        <v>52</v>
      </c>
      <c r="C3" s="2" t="s">
        <v>46</v>
      </c>
      <c r="D3" s="2" t="s">
        <v>53</v>
      </c>
      <c r="E3" s="8">
        <v>571</v>
      </c>
      <c r="F3" s="6">
        <v>170</v>
      </c>
      <c r="G3" s="7">
        <f t="shared" ref="G3:G10" si="0">(E3*2)/H3</f>
        <v>15.226666666666667</v>
      </c>
      <c r="H3" s="6">
        <v>75</v>
      </c>
      <c r="I3" s="3">
        <v>0</v>
      </c>
      <c r="J3" s="3">
        <f t="shared" ref="J3:J10" si="1">F3*G3</f>
        <v>2588.5333333333333</v>
      </c>
      <c r="K3" s="3">
        <v>0</v>
      </c>
      <c r="L3" s="5">
        <v>1.5</v>
      </c>
      <c r="M3" s="5">
        <v>1.5</v>
      </c>
      <c r="N3" s="3">
        <v>130</v>
      </c>
      <c r="O3" s="3">
        <v>160</v>
      </c>
      <c r="P3" s="5">
        <v>40</v>
      </c>
      <c r="Q3" s="3">
        <v>0</v>
      </c>
      <c r="R3" s="3">
        <f>(J3+K3+(N3*L3)+(O3*M3)+Q3+I3)*1.1075</f>
        <v>3348.5631666666663</v>
      </c>
      <c r="S3" s="3">
        <f t="shared" ref="S3:S10" si="2">R3/P3</f>
        <v>83.714079166666664</v>
      </c>
      <c r="T3" s="4">
        <f t="shared" ref="T3" si="3">S3*P3</f>
        <v>3348.5631666666668</v>
      </c>
      <c r="U3" s="4">
        <f>(T3/X3)*1.083</f>
        <v>198.96638128200439</v>
      </c>
      <c r="V3" s="3">
        <f t="shared" ref="V3:V10" si="4">X3*AA3</f>
        <v>619.70666666666671</v>
      </c>
      <c r="W3" s="3">
        <v>25</v>
      </c>
      <c r="X3" s="1">
        <f t="shared" ref="X3:X10" si="5">G3+L3+M3</f>
        <v>18.226666666666667</v>
      </c>
      <c r="Y3" s="3">
        <f t="shared" ref="Y3:Y10" si="6">(X3*AB3)+(K3*0.85)+(I3*0.85)</f>
        <v>2187.1999999999998</v>
      </c>
      <c r="Z3" s="3">
        <f t="shared" ref="Z3:Z10" si="7">(X3*AC3)+(K3*0.85)+(I3*0.85)</f>
        <v>2369.4666666666667</v>
      </c>
      <c r="AA3" s="2">
        <v>34</v>
      </c>
      <c r="AB3" s="2">
        <v>120</v>
      </c>
      <c r="AC3" s="16">
        <v>130</v>
      </c>
      <c r="AD3" s="3">
        <f t="shared" ref="AD3:AD10" si="8">Y3/X3</f>
        <v>119.99999999999999</v>
      </c>
      <c r="AE3" s="3">
        <f t="shared" ref="AE3:AE10" si="9">Z3/X3</f>
        <v>130</v>
      </c>
      <c r="AF3" s="15">
        <f t="shared" ref="AF3:AF10" si="10">Y3/T3</f>
        <v>0.6531756730088063</v>
      </c>
      <c r="AG3" s="15">
        <f t="shared" ref="AG3:AG10" si="11">Z3/T3</f>
        <v>0.70760697909287362</v>
      </c>
      <c r="AH3" s="15">
        <f t="shared" ref="AH3:AH10" si="12">V3/T3</f>
        <v>0.18506644068582848</v>
      </c>
    </row>
    <row r="4" spans="1:34" x14ac:dyDescent="0.25">
      <c r="A4" s="2" t="s">
        <v>59</v>
      </c>
      <c r="B4" s="2" t="s">
        <v>52</v>
      </c>
      <c r="C4" s="2" t="s">
        <v>46</v>
      </c>
      <c r="D4" s="2" t="s">
        <v>54</v>
      </c>
      <c r="E4" s="8">
        <v>539</v>
      </c>
      <c r="F4" s="6">
        <v>170</v>
      </c>
      <c r="G4" s="7">
        <f t="shared" ref="G4" si="13">(E4*2)/H4</f>
        <v>14.373333333333333</v>
      </c>
      <c r="H4" s="6">
        <v>75</v>
      </c>
      <c r="I4" s="3">
        <v>0</v>
      </c>
      <c r="J4" s="3">
        <f t="shared" ref="J4" si="14">F4*G4</f>
        <v>2443.4666666666667</v>
      </c>
      <c r="K4" s="3">
        <v>0</v>
      </c>
      <c r="L4" s="5">
        <v>1.5</v>
      </c>
      <c r="M4" s="5">
        <v>1.5</v>
      </c>
      <c r="N4" s="3">
        <v>130</v>
      </c>
      <c r="O4" s="3">
        <v>160</v>
      </c>
      <c r="P4" s="5">
        <v>40</v>
      </c>
      <c r="Q4" s="3">
        <v>0</v>
      </c>
      <c r="R4" s="3">
        <f>(J4+K4+(N4*L4)+(O4*M4)+Q4+I4)*1.1075</f>
        <v>3187.9018333333333</v>
      </c>
      <c r="S4" s="3">
        <f t="shared" ref="S4" si="15">R4/P4</f>
        <v>79.697545833333336</v>
      </c>
      <c r="T4" s="4">
        <f t="shared" ref="T4:T22" si="16">S4*P4</f>
        <v>3187.9018333333333</v>
      </c>
      <c r="U4" s="4">
        <f t="shared" ref="U4:U23" si="17">(T4/X4)*1.083</f>
        <v>198.72396501343053</v>
      </c>
      <c r="V4" s="3">
        <f t="shared" ref="V4" si="18">X4*AA4</f>
        <v>590.69333333333338</v>
      </c>
      <c r="W4" s="3">
        <v>25</v>
      </c>
      <c r="X4" s="1">
        <f t="shared" ref="X4" si="19">G4+L4+M4</f>
        <v>17.373333333333335</v>
      </c>
      <c r="Y4" s="3">
        <f t="shared" ref="Y4" si="20">(X4*AB4)+(K4*0.85)+(I4*0.85)</f>
        <v>2084.8000000000002</v>
      </c>
      <c r="Z4" s="3">
        <f t="shared" ref="Z4" si="21">(X4*AC4)+(K4*0.85)+(I4*0.85)</f>
        <v>2258.5333333333338</v>
      </c>
      <c r="AA4" s="2">
        <v>34</v>
      </c>
      <c r="AB4" s="2">
        <v>120</v>
      </c>
      <c r="AC4" s="16">
        <v>130</v>
      </c>
      <c r="AD4" s="3">
        <f t="shared" ref="AD4" si="22">Y4/X4</f>
        <v>120</v>
      </c>
      <c r="AE4" s="3">
        <f t="shared" ref="AE4" si="23">Z4/X4</f>
        <v>130</v>
      </c>
      <c r="AF4" s="15">
        <f t="shared" ref="AF4" si="24">Y4/T4</f>
        <v>0.65397245868769172</v>
      </c>
      <c r="AG4" s="15">
        <f t="shared" ref="AG4" si="25">Z4/T4</f>
        <v>0.70847016357833281</v>
      </c>
      <c r="AH4" s="15">
        <f t="shared" si="12"/>
        <v>0.18529219662817933</v>
      </c>
    </row>
    <row r="5" spans="1:34" x14ac:dyDescent="0.25">
      <c r="A5" s="2" t="s">
        <v>48</v>
      </c>
      <c r="B5" s="2" t="s">
        <v>55</v>
      </c>
      <c r="C5" s="2" t="s">
        <v>46</v>
      </c>
      <c r="D5" s="2" t="s">
        <v>56</v>
      </c>
      <c r="E5" s="8">
        <v>300</v>
      </c>
      <c r="F5" s="6">
        <v>198</v>
      </c>
      <c r="G5" s="7">
        <f t="shared" si="0"/>
        <v>8</v>
      </c>
      <c r="H5" s="6">
        <v>75</v>
      </c>
      <c r="I5" s="3">
        <f>(J5*0)</f>
        <v>0</v>
      </c>
      <c r="J5" s="3">
        <f t="shared" si="1"/>
        <v>1584</v>
      </c>
      <c r="K5" s="3">
        <v>0</v>
      </c>
      <c r="L5" s="5">
        <v>1.5</v>
      </c>
      <c r="M5" s="5">
        <v>1.5</v>
      </c>
      <c r="N5" s="3">
        <v>130</v>
      </c>
      <c r="O5" s="3">
        <v>160</v>
      </c>
      <c r="P5" s="5">
        <v>40</v>
      </c>
      <c r="Q5" s="3">
        <v>0</v>
      </c>
      <c r="R5" s="3">
        <f t="shared" ref="R5:R10" si="26">J5+K5+(N5*L5)+(O5*M5)+Q5+I5</f>
        <v>2019</v>
      </c>
      <c r="S5" s="3">
        <f t="shared" si="2"/>
        <v>50.475000000000001</v>
      </c>
      <c r="T5" s="4">
        <f t="shared" si="16"/>
        <v>2019</v>
      </c>
      <c r="U5" s="4">
        <f t="shared" si="17"/>
        <v>198.77972727272726</v>
      </c>
      <c r="V5" s="3">
        <f t="shared" si="4"/>
        <v>385</v>
      </c>
      <c r="W5" s="3">
        <v>28</v>
      </c>
      <c r="X5" s="1">
        <f t="shared" si="5"/>
        <v>11</v>
      </c>
      <c r="Y5" s="3">
        <f t="shared" si="6"/>
        <v>1320</v>
      </c>
      <c r="Z5" s="3">
        <f t="shared" si="7"/>
        <v>1430</v>
      </c>
      <c r="AA5" s="2">
        <v>35</v>
      </c>
      <c r="AB5" s="2">
        <v>120</v>
      </c>
      <c r="AC5" s="16">
        <v>130</v>
      </c>
      <c r="AD5" s="3">
        <f t="shared" si="8"/>
        <v>120</v>
      </c>
      <c r="AE5" s="3">
        <f t="shared" si="9"/>
        <v>130</v>
      </c>
      <c r="AF5" s="15">
        <f t="shared" si="10"/>
        <v>0.65378900445765231</v>
      </c>
      <c r="AG5" s="15">
        <f t="shared" si="11"/>
        <v>0.70827142149579003</v>
      </c>
      <c r="AH5" s="15">
        <f t="shared" si="12"/>
        <v>0.19068845963348191</v>
      </c>
    </row>
    <row r="6" spans="1:34" x14ac:dyDescent="0.25">
      <c r="A6" s="2" t="s">
        <v>48</v>
      </c>
      <c r="B6" s="2" t="s">
        <v>52</v>
      </c>
      <c r="C6" s="2" t="s">
        <v>57</v>
      </c>
      <c r="D6" s="2" t="s">
        <v>58</v>
      </c>
      <c r="E6" s="8">
        <v>571</v>
      </c>
      <c r="F6" s="6">
        <v>148</v>
      </c>
      <c r="G6" s="7">
        <f t="shared" si="0"/>
        <v>13.435294117647059</v>
      </c>
      <c r="H6" s="6">
        <v>85</v>
      </c>
      <c r="I6" s="3">
        <f>(J6*0)</f>
        <v>0</v>
      </c>
      <c r="J6" s="3">
        <f t="shared" si="1"/>
        <v>1988.4235294117648</v>
      </c>
      <c r="K6" s="3">
        <v>0</v>
      </c>
      <c r="L6" s="5">
        <v>1</v>
      </c>
      <c r="M6" s="5">
        <v>1</v>
      </c>
      <c r="N6" s="3">
        <v>130</v>
      </c>
      <c r="O6" s="3">
        <v>130</v>
      </c>
      <c r="P6" s="5">
        <v>5</v>
      </c>
      <c r="Q6" s="3">
        <v>0</v>
      </c>
      <c r="R6" s="3">
        <f t="shared" si="26"/>
        <v>2248.4235294117648</v>
      </c>
      <c r="S6" s="3">
        <f t="shared" si="2"/>
        <v>449.68470588235294</v>
      </c>
      <c r="T6" s="4">
        <f t="shared" si="16"/>
        <v>2248.4235294117648</v>
      </c>
      <c r="U6" s="4">
        <f t="shared" si="17"/>
        <v>157.75810060975607</v>
      </c>
      <c r="V6" s="3">
        <f t="shared" si="4"/>
        <v>540.23529411764707</v>
      </c>
      <c r="W6" s="3">
        <v>28</v>
      </c>
      <c r="X6" s="1">
        <f t="shared" si="5"/>
        <v>15.435294117647059</v>
      </c>
      <c r="Y6" s="3">
        <f t="shared" si="6"/>
        <v>1852.2352941176471</v>
      </c>
      <c r="Z6" s="3">
        <f t="shared" si="7"/>
        <v>2006.5882352941176</v>
      </c>
      <c r="AA6" s="2">
        <v>35</v>
      </c>
      <c r="AB6" s="2">
        <v>120</v>
      </c>
      <c r="AC6" s="16">
        <v>130</v>
      </c>
      <c r="AD6" s="3">
        <f t="shared" si="8"/>
        <v>120</v>
      </c>
      <c r="AE6" s="3">
        <f t="shared" si="9"/>
        <v>130</v>
      </c>
      <c r="AF6" s="15">
        <f t="shared" si="10"/>
        <v>0.82379287971703052</v>
      </c>
      <c r="AG6" s="15">
        <f t="shared" si="11"/>
        <v>0.89244228636011635</v>
      </c>
      <c r="AH6" s="15">
        <f t="shared" si="12"/>
        <v>0.24027292325080055</v>
      </c>
    </row>
    <row r="7" spans="1:34" x14ac:dyDescent="0.25">
      <c r="A7" s="2" t="s">
        <v>60</v>
      </c>
      <c r="B7" s="2" t="s">
        <v>55</v>
      </c>
      <c r="C7" s="2" t="s">
        <v>47</v>
      </c>
      <c r="D7" s="2" t="s">
        <v>61</v>
      </c>
      <c r="E7" s="8">
        <v>546</v>
      </c>
      <c r="F7" s="6">
        <v>192</v>
      </c>
      <c r="G7" s="7">
        <f t="shared" si="0"/>
        <v>13.65</v>
      </c>
      <c r="H7" s="6">
        <v>80</v>
      </c>
      <c r="I7" s="3">
        <f>(J7*0)</f>
        <v>0</v>
      </c>
      <c r="J7" s="3">
        <f t="shared" si="1"/>
        <v>2620.8000000000002</v>
      </c>
      <c r="K7" s="3">
        <v>0</v>
      </c>
      <c r="L7" s="5">
        <v>1.5</v>
      </c>
      <c r="M7" s="5">
        <v>1.5</v>
      </c>
      <c r="N7" s="3">
        <v>130</v>
      </c>
      <c r="O7" s="3">
        <v>160</v>
      </c>
      <c r="P7" s="46">
        <v>28</v>
      </c>
      <c r="Q7" s="3">
        <v>0</v>
      </c>
      <c r="R7" s="3">
        <f t="shared" si="26"/>
        <v>3055.8</v>
      </c>
      <c r="S7" s="3">
        <f t="shared" si="2"/>
        <v>109.13571428571429</v>
      </c>
      <c r="T7" s="4">
        <f t="shared" si="16"/>
        <v>3055.8</v>
      </c>
      <c r="U7" s="4">
        <f t="shared" si="17"/>
        <v>198.76464864864866</v>
      </c>
      <c r="V7" s="3">
        <f t="shared" si="4"/>
        <v>582.75</v>
      </c>
      <c r="W7" s="3">
        <v>28</v>
      </c>
      <c r="X7" s="1">
        <f t="shared" si="5"/>
        <v>16.649999999999999</v>
      </c>
      <c r="Y7" s="3">
        <f t="shared" si="6"/>
        <v>1997.9999999999998</v>
      </c>
      <c r="Z7" s="3">
        <f t="shared" si="7"/>
        <v>2164.5</v>
      </c>
      <c r="AA7" s="2">
        <v>35</v>
      </c>
      <c r="AB7" s="2">
        <v>120</v>
      </c>
      <c r="AC7" s="16">
        <v>130</v>
      </c>
      <c r="AD7" s="3">
        <f t="shared" si="8"/>
        <v>120</v>
      </c>
      <c r="AE7" s="3">
        <f t="shared" si="9"/>
        <v>130</v>
      </c>
      <c r="AF7" s="15">
        <f t="shared" si="10"/>
        <v>0.65383860200274879</v>
      </c>
      <c r="AG7" s="15">
        <f t="shared" si="11"/>
        <v>0.70832515216964453</v>
      </c>
      <c r="AH7" s="15">
        <f t="shared" si="12"/>
        <v>0.19070292558413507</v>
      </c>
    </row>
    <row r="8" spans="1:34" x14ac:dyDescent="0.25">
      <c r="A8" s="2" t="s">
        <v>60</v>
      </c>
      <c r="B8" s="2" t="s">
        <v>55</v>
      </c>
      <c r="C8" s="2" t="s">
        <v>46</v>
      </c>
      <c r="D8" s="2" t="s">
        <v>61</v>
      </c>
      <c r="E8" s="8">
        <v>546</v>
      </c>
      <c r="F8" s="6">
        <v>191</v>
      </c>
      <c r="G8" s="7">
        <f t="shared" si="0"/>
        <v>14.56</v>
      </c>
      <c r="H8" s="6">
        <v>75</v>
      </c>
      <c r="I8" s="3">
        <f>(J8*0)</f>
        <v>0</v>
      </c>
      <c r="J8" s="3">
        <f t="shared" si="1"/>
        <v>2780.96</v>
      </c>
      <c r="K8" s="3">
        <v>0</v>
      </c>
      <c r="L8" s="5">
        <v>1.5</v>
      </c>
      <c r="M8" s="5">
        <v>1.5</v>
      </c>
      <c r="N8" s="3">
        <v>130</v>
      </c>
      <c r="O8" s="3">
        <v>160</v>
      </c>
      <c r="P8" s="5">
        <v>40</v>
      </c>
      <c r="Q8" s="3">
        <v>0</v>
      </c>
      <c r="R8" s="3">
        <f t="shared" si="26"/>
        <v>3215.96</v>
      </c>
      <c r="S8" s="3">
        <f t="shared" si="2"/>
        <v>80.399000000000001</v>
      </c>
      <c r="T8" s="4">
        <f t="shared" si="16"/>
        <v>3215.96</v>
      </c>
      <c r="U8" s="4">
        <f t="shared" si="17"/>
        <v>198.34195216400909</v>
      </c>
      <c r="V8" s="3">
        <f t="shared" si="4"/>
        <v>614.60000000000014</v>
      </c>
      <c r="W8" s="3">
        <v>28</v>
      </c>
      <c r="X8" s="1">
        <f t="shared" si="5"/>
        <v>17.560000000000002</v>
      </c>
      <c r="Y8" s="3">
        <f t="shared" si="6"/>
        <v>2107.2000000000003</v>
      </c>
      <c r="Z8" s="3">
        <f t="shared" si="7"/>
        <v>2282.8000000000002</v>
      </c>
      <c r="AA8" s="2">
        <v>35</v>
      </c>
      <c r="AB8" s="2">
        <v>120</v>
      </c>
      <c r="AC8" s="16">
        <v>130</v>
      </c>
      <c r="AD8" s="3">
        <f t="shared" si="8"/>
        <v>120</v>
      </c>
      <c r="AE8" s="3">
        <f t="shared" si="9"/>
        <v>130</v>
      </c>
      <c r="AF8" s="15">
        <f t="shared" si="10"/>
        <v>0.65523203024913257</v>
      </c>
      <c r="AG8" s="15">
        <f t="shared" si="11"/>
        <v>0.70983469943656019</v>
      </c>
      <c r="AH8" s="15">
        <f t="shared" si="12"/>
        <v>0.19110934215599701</v>
      </c>
    </row>
    <row r="9" spans="1:34" x14ac:dyDescent="0.25">
      <c r="A9" s="2" t="s">
        <v>48</v>
      </c>
      <c r="B9" s="2" t="s">
        <v>52</v>
      </c>
      <c r="C9" s="2" t="s">
        <v>47</v>
      </c>
      <c r="D9" s="2" t="s">
        <v>62</v>
      </c>
      <c r="E9" s="8">
        <v>571</v>
      </c>
      <c r="F9" s="6">
        <v>191</v>
      </c>
      <c r="G9" s="7">
        <f t="shared" si="0"/>
        <v>14.275</v>
      </c>
      <c r="H9" s="6">
        <v>80</v>
      </c>
      <c r="I9" s="3">
        <v>0</v>
      </c>
      <c r="J9" s="3">
        <f t="shared" si="1"/>
        <v>2726.5250000000001</v>
      </c>
      <c r="K9" s="3">
        <v>0</v>
      </c>
      <c r="L9" s="5">
        <v>1.5</v>
      </c>
      <c r="M9" s="5">
        <v>1.5</v>
      </c>
      <c r="N9" s="3">
        <v>130</v>
      </c>
      <c r="O9" s="3">
        <v>160</v>
      </c>
      <c r="P9" s="5">
        <v>28</v>
      </c>
      <c r="Q9" s="3">
        <v>0</v>
      </c>
      <c r="R9" s="3">
        <f t="shared" si="26"/>
        <v>3161.5250000000001</v>
      </c>
      <c r="S9" s="3">
        <f t="shared" si="2"/>
        <v>112.91160714285715</v>
      </c>
      <c r="T9" s="4">
        <f t="shared" si="16"/>
        <v>3161.5250000000001</v>
      </c>
      <c r="U9" s="4">
        <f t="shared" si="17"/>
        <v>198.20153835021711</v>
      </c>
      <c r="V9" s="3">
        <f t="shared" si="4"/>
        <v>604.625</v>
      </c>
      <c r="W9" s="3">
        <v>28</v>
      </c>
      <c r="X9" s="1">
        <f t="shared" si="5"/>
        <v>17.274999999999999</v>
      </c>
      <c r="Y9" s="3">
        <f t="shared" si="6"/>
        <v>2073</v>
      </c>
      <c r="Z9" s="3">
        <f t="shared" si="7"/>
        <v>2245.75</v>
      </c>
      <c r="AA9" s="2">
        <v>35</v>
      </c>
      <c r="AB9" s="2">
        <v>120</v>
      </c>
      <c r="AC9" s="16">
        <v>130</v>
      </c>
      <c r="AD9" s="3">
        <f t="shared" si="8"/>
        <v>120.00000000000001</v>
      </c>
      <c r="AE9" s="3">
        <f t="shared" si="9"/>
        <v>130</v>
      </c>
      <c r="AF9" s="15">
        <f t="shared" si="10"/>
        <v>0.65569622255082594</v>
      </c>
      <c r="AG9" s="15">
        <f t="shared" si="11"/>
        <v>0.7103375744300614</v>
      </c>
      <c r="AH9" s="15">
        <f t="shared" si="12"/>
        <v>0.19124473157732422</v>
      </c>
    </row>
    <row r="10" spans="1:34" x14ac:dyDescent="0.25">
      <c r="A10" s="2" t="s">
        <v>48</v>
      </c>
      <c r="B10" s="2" t="s">
        <v>52</v>
      </c>
      <c r="C10" s="2" t="s">
        <v>46</v>
      </c>
      <c r="D10" s="2" t="s">
        <v>62</v>
      </c>
      <c r="E10" s="8">
        <v>571</v>
      </c>
      <c r="F10" s="6">
        <v>191</v>
      </c>
      <c r="G10" s="7">
        <f t="shared" si="0"/>
        <v>15.226666666666667</v>
      </c>
      <c r="H10" s="6">
        <v>75</v>
      </c>
      <c r="I10" s="3">
        <f>(J10*0)</f>
        <v>0</v>
      </c>
      <c r="J10" s="3">
        <f t="shared" si="1"/>
        <v>2908.2933333333335</v>
      </c>
      <c r="K10" s="3">
        <v>0</v>
      </c>
      <c r="L10" s="5">
        <v>1.5</v>
      </c>
      <c r="M10" s="5">
        <v>1.5</v>
      </c>
      <c r="N10" s="3">
        <v>130</v>
      </c>
      <c r="O10" s="3">
        <v>160</v>
      </c>
      <c r="P10" s="5">
        <v>40</v>
      </c>
      <c r="Q10" s="3">
        <v>0</v>
      </c>
      <c r="R10" s="3">
        <f t="shared" si="26"/>
        <v>3343.2933333333335</v>
      </c>
      <c r="S10" s="3">
        <f t="shared" si="2"/>
        <v>83.582333333333338</v>
      </c>
      <c r="T10" s="4">
        <f t="shared" si="16"/>
        <v>3343.2933333333335</v>
      </c>
      <c r="U10" s="4">
        <f t="shared" si="17"/>
        <v>198.6532560351134</v>
      </c>
      <c r="V10" s="3">
        <f t="shared" si="4"/>
        <v>637.93333333333328</v>
      </c>
      <c r="W10" s="3">
        <v>28</v>
      </c>
      <c r="X10" s="1">
        <f t="shared" si="5"/>
        <v>18.226666666666667</v>
      </c>
      <c r="Y10" s="3">
        <f t="shared" si="6"/>
        <v>2096.0666666666666</v>
      </c>
      <c r="Z10" s="3">
        <f t="shared" si="7"/>
        <v>2369.4666666666667</v>
      </c>
      <c r="AA10" s="2">
        <v>35</v>
      </c>
      <c r="AB10" s="2">
        <v>115</v>
      </c>
      <c r="AC10" s="16">
        <v>130</v>
      </c>
      <c r="AD10" s="3">
        <f t="shared" si="8"/>
        <v>115</v>
      </c>
      <c r="AE10" s="3">
        <f t="shared" si="9"/>
        <v>130</v>
      </c>
      <c r="AF10" s="15">
        <f t="shared" si="10"/>
        <v>0.62694668331026882</v>
      </c>
      <c r="AG10" s="15">
        <f t="shared" si="11"/>
        <v>0.70872233765508652</v>
      </c>
      <c r="AH10" s="15">
        <f t="shared" si="12"/>
        <v>0.19080986013790791</v>
      </c>
    </row>
    <row r="11" spans="1:34" x14ac:dyDescent="0.25">
      <c r="A11" s="2"/>
      <c r="B11" s="2"/>
      <c r="C11" s="2"/>
      <c r="D11" s="2"/>
      <c r="E11" s="8"/>
      <c r="F11" s="6">
        <v>170</v>
      </c>
      <c r="G11" s="7">
        <f t="shared" ref="G11:G13" si="27">(E11*2)/H11</f>
        <v>0</v>
      </c>
      <c r="H11" s="6">
        <v>75</v>
      </c>
      <c r="I11" s="3">
        <f t="shared" ref="I11:I13" si="28">(J11*0)</f>
        <v>0</v>
      </c>
      <c r="J11" s="3">
        <f t="shared" ref="J11:J13" si="29">F11*G11</f>
        <v>0</v>
      </c>
      <c r="K11" s="3">
        <v>0</v>
      </c>
      <c r="L11" s="5">
        <v>1.5</v>
      </c>
      <c r="M11" s="5">
        <v>1.5</v>
      </c>
      <c r="N11" s="3">
        <v>130</v>
      </c>
      <c r="O11" s="3">
        <v>160</v>
      </c>
      <c r="P11" s="5">
        <v>40</v>
      </c>
      <c r="Q11" s="3">
        <v>0</v>
      </c>
      <c r="R11" s="3">
        <f t="shared" ref="R11:R13" si="30">J11+K11+(N11*L11)+(O11*M11)+Q11+I11</f>
        <v>435</v>
      </c>
      <c r="S11" s="3">
        <f t="shared" ref="S11:S13" si="31">R11/P11</f>
        <v>10.875</v>
      </c>
      <c r="T11" s="4">
        <f t="shared" si="16"/>
        <v>435</v>
      </c>
      <c r="U11" s="4">
        <f t="shared" si="17"/>
        <v>157.035</v>
      </c>
      <c r="V11" s="3">
        <f t="shared" ref="V11:V13" si="32">X11*AA11</f>
        <v>105</v>
      </c>
      <c r="W11" s="3">
        <v>28</v>
      </c>
      <c r="X11" s="1">
        <f t="shared" ref="X11:X13" si="33">G11+L11+M11</f>
        <v>3</v>
      </c>
      <c r="Y11" s="3">
        <f t="shared" ref="Y11:Y13" si="34">(X11*AB11)+(K11*0.85)+(I11*0.85)</f>
        <v>345</v>
      </c>
      <c r="Z11" s="3">
        <f t="shared" ref="Z11:Z13" si="35">(X11*AC11)+(K11*0.85)+(I11*0.85)</f>
        <v>390</v>
      </c>
      <c r="AA11" s="2">
        <v>35</v>
      </c>
      <c r="AB11" s="2">
        <v>115</v>
      </c>
      <c r="AC11" s="16">
        <v>130</v>
      </c>
      <c r="AD11" s="3">
        <f t="shared" ref="AD11:AD13" si="36">Y11/X11</f>
        <v>115</v>
      </c>
      <c r="AE11" s="3">
        <f t="shared" ref="AE11:AE13" si="37">Z11/X11</f>
        <v>130</v>
      </c>
      <c r="AF11" s="15">
        <f t="shared" ref="AF11:AF13" si="38">Y11/T11</f>
        <v>0.7931034482758621</v>
      </c>
      <c r="AG11" s="15">
        <f t="shared" ref="AG11:AG13" si="39">Z11/T11</f>
        <v>0.89655172413793105</v>
      </c>
      <c r="AH11" s="15">
        <f t="shared" ref="AH11:AH13" si="40">V11/T11</f>
        <v>0.2413793103448276</v>
      </c>
    </row>
    <row r="12" spans="1:34" ht="16.5" customHeight="1" x14ac:dyDescent="0.25">
      <c r="A12" s="2"/>
      <c r="B12" s="2"/>
      <c r="C12" s="2"/>
      <c r="D12" s="2"/>
      <c r="E12" s="8"/>
      <c r="F12" s="6">
        <v>170</v>
      </c>
      <c r="G12" s="7">
        <f t="shared" si="27"/>
        <v>0</v>
      </c>
      <c r="H12" s="6">
        <v>75</v>
      </c>
      <c r="I12" s="3">
        <f t="shared" si="28"/>
        <v>0</v>
      </c>
      <c r="J12" s="3">
        <f t="shared" si="29"/>
        <v>0</v>
      </c>
      <c r="K12" s="3">
        <v>0</v>
      </c>
      <c r="L12" s="5">
        <v>1.5</v>
      </c>
      <c r="M12" s="5">
        <v>1.5</v>
      </c>
      <c r="N12" s="3">
        <v>130</v>
      </c>
      <c r="O12" s="3">
        <v>160</v>
      </c>
      <c r="P12" s="5">
        <v>40</v>
      </c>
      <c r="Q12" s="3">
        <v>0</v>
      </c>
      <c r="R12" s="3">
        <f t="shared" si="30"/>
        <v>435</v>
      </c>
      <c r="S12" s="3">
        <f t="shared" si="31"/>
        <v>10.875</v>
      </c>
      <c r="T12" s="4">
        <f t="shared" si="16"/>
        <v>435</v>
      </c>
      <c r="U12" s="4">
        <f t="shared" si="17"/>
        <v>157.035</v>
      </c>
      <c r="V12" s="3">
        <f t="shared" si="32"/>
        <v>105</v>
      </c>
      <c r="W12" s="3">
        <v>28</v>
      </c>
      <c r="X12" s="1">
        <f t="shared" si="33"/>
        <v>3</v>
      </c>
      <c r="Y12" s="3">
        <f t="shared" si="34"/>
        <v>345</v>
      </c>
      <c r="Z12" s="3">
        <f t="shared" si="35"/>
        <v>390</v>
      </c>
      <c r="AA12" s="2">
        <v>35</v>
      </c>
      <c r="AB12" s="2">
        <v>115</v>
      </c>
      <c r="AC12" s="16">
        <v>130</v>
      </c>
      <c r="AD12" s="3">
        <f t="shared" si="36"/>
        <v>115</v>
      </c>
      <c r="AE12" s="3">
        <f t="shared" si="37"/>
        <v>130</v>
      </c>
      <c r="AF12" s="15">
        <f t="shared" si="38"/>
        <v>0.7931034482758621</v>
      </c>
      <c r="AG12" s="15">
        <f t="shared" si="39"/>
        <v>0.89655172413793105</v>
      </c>
      <c r="AH12" s="15">
        <f t="shared" si="40"/>
        <v>0.2413793103448276</v>
      </c>
    </row>
    <row r="13" spans="1:34" x14ac:dyDescent="0.25">
      <c r="A13" s="2"/>
      <c r="B13" s="2"/>
      <c r="C13" s="2"/>
      <c r="D13" s="2"/>
      <c r="E13" s="8"/>
      <c r="F13" s="6">
        <v>170</v>
      </c>
      <c r="G13" s="7">
        <f t="shared" si="27"/>
        <v>0</v>
      </c>
      <c r="H13" s="6">
        <v>75</v>
      </c>
      <c r="I13" s="3">
        <f t="shared" si="28"/>
        <v>0</v>
      </c>
      <c r="J13" s="3">
        <f t="shared" si="29"/>
        <v>0</v>
      </c>
      <c r="K13" s="3">
        <v>0</v>
      </c>
      <c r="L13" s="5">
        <v>1.5</v>
      </c>
      <c r="M13" s="5">
        <v>1.5</v>
      </c>
      <c r="N13" s="3">
        <v>130</v>
      </c>
      <c r="O13" s="3">
        <v>160</v>
      </c>
      <c r="P13" s="5">
        <v>40</v>
      </c>
      <c r="Q13" s="3">
        <v>0</v>
      </c>
      <c r="R13" s="3">
        <f t="shared" si="30"/>
        <v>435</v>
      </c>
      <c r="S13" s="3">
        <f t="shared" si="31"/>
        <v>10.875</v>
      </c>
      <c r="T13" s="4">
        <f t="shared" si="16"/>
        <v>435</v>
      </c>
      <c r="U13" s="4">
        <f t="shared" si="17"/>
        <v>157.035</v>
      </c>
      <c r="V13" s="3">
        <f t="shared" si="32"/>
        <v>105</v>
      </c>
      <c r="W13" s="3">
        <v>28</v>
      </c>
      <c r="X13" s="1">
        <f t="shared" si="33"/>
        <v>3</v>
      </c>
      <c r="Y13" s="3">
        <f t="shared" si="34"/>
        <v>345</v>
      </c>
      <c r="Z13" s="3">
        <f t="shared" si="35"/>
        <v>390</v>
      </c>
      <c r="AA13" s="2">
        <v>35</v>
      </c>
      <c r="AB13" s="2">
        <v>115</v>
      </c>
      <c r="AC13" s="16">
        <v>130</v>
      </c>
      <c r="AD13" s="3">
        <f t="shared" si="36"/>
        <v>115</v>
      </c>
      <c r="AE13" s="3">
        <f t="shared" si="37"/>
        <v>130</v>
      </c>
      <c r="AF13" s="15">
        <f t="shared" si="38"/>
        <v>0.7931034482758621</v>
      </c>
      <c r="AG13" s="15">
        <f t="shared" si="39"/>
        <v>0.89655172413793105</v>
      </c>
      <c r="AH13" s="15">
        <f t="shared" si="40"/>
        <v>0.2413793103448276</v>
      </c>
    </row>
    <row r="14" spans="1:34" x14ac:dyDescent="0.25">
      <c r="A14" s="2"/>
      <c r="B14" s="2"/>
      <c r="C14" s="2"/>
      <c r="D14" s="2"/>
      <c r="E14" s="8"/>
      <c r="F14" s="6">
        <v>170</v>
      </c>
      <c r="G14" s="7">
        <f t="shared" ref="G14:G16" si="41">(E14*2)/H14</f>
        <v>0</v>
      </c>
      <c r="H14" s="6">
        <v>75</v>
      </c>
      <c r="I14" s="3">
        <f>(J14*0)</f>
        <v>0</v>
      </c>
      <c r="J14" s="3">
        <f t="shared" ref="J14:J16" si="42">F14*G14</f>
        <v>0</v>
      </c>
      <c r="K14" s="3">
        <v>0</v>
      </c>
      <c r="L14" s="5">
        <v>1.5</v>
      </c>
      <c r="M14" s="5">
        <v>1.5</v>
      </c>
      <c r="N14" s="3">
        <v>130</v>
      </c>
      <c r="O14" s="3">
        <v>160</v>
      </c>
      <c r="P14" s="5">
        <v>40</v>
      </c>
      <c r="Q14" s="3">
        <v>0</v>
      </c>
      <c r="R14" s="3">
        <f t="shared" ref="R14:R16" si="43">J14+K14+(N14*L14)+(O14*M14)+Q14+I14</f>
        <v>435</v>
      </c>
      <c r="S14" s="3">
        <f t="shared" ref="S14:S16" si="44">R14/P14</f>
        <v>10.875</v>
      </c>
      <c r="T14" s="4">
        <f t="shared" si="16"/>
        <v>435</v>
      </c>
      <c r="U14" s="4">
        <f t="shared" si="17"/>
        <v>157.035</v>
      </c>
      <c r="V14" s="3">
        <f t="shared" ref="V14:V16" si="45">X14*AA14</f>
        <v>105</v>
      </c>
      <c r="W14" s="3">
        <v>28</v>
      </c>
      <c r="X14" s="1">
        <f t="shared" ref="X14:X16" si="46">G14+L14+M14</f>
        <v>3</v>
      </c>
      <c r="Y14" s="3">
        <f t="shared" ref="Y14:Y16" si="47">(X14*AB14)+(K14*0.85)+(I14*0.85)</f>
        <v>345</v>
      </c>
      <c r="Z14" s="3">
        <f t="shared" ref="Z14:Z16" si="48">(X14*AC14)+(K14*0.85)+(I14*0.85)</f>
        <v>390</v>
      </c>
      <c r="AA14" s="2">
        <v>35</v>
      </c>
      <c r="AB14" s="2">
        <v>115</v>
      </c>
      <c r="AC14" s="16">
        <v>130</v>
      </c>
      <c r="AD14" s="3">
        <f t="shared" ref="AD14:AD16" si="49">Y14/X14</f>
        <v>115</v>
      </c>
      <c r="AE14" s="3">
        <f t="shared" ref="AE14:AE16" si="50">Z14/X14</f>
        <v>130</v>
      </c>
      <c r="AF14" s="15">
        <f t="shared" ref="AF14:AF16" si="51">Y14/T14</f>
        <v>0.7931034482758621</v>
      </c>
      <c r="AG14" s="15">
        <f t="shared" ref="AG14:AG16" si="52">Z14/T14</f>
        <v>0.89655172413793105</v>
      </c>
      <c r="AH14" s="15">
        <f t="shared" ref="AH14:AH16" si="53">V14/T14</f>
        <v>0.2413793103448276</v>
      </c>
    </row>
    <row r="15" spans="1:34" x14ac:dyDescent="0.25">
      <c r="A15" s="2"/>
      <c r="B15" s="2"/>
      <c r="C15" s="2"/>
      <c r="D15" s="42"/>
      <c r="E15" s="8"/>
      <c r="F15" s="6">
        <v>170</v>
      </c>
      <c r="G15" s="7">
        <f t="shared" ref="G15" si="54">(E15*2)/H15</f>
        <v>0</v>
      </c>
      <c r="H15" s="6">
        <v>75</v>
      </c>
      <c r="I15" s="3">
        <f>(J15*0)</f>
        <v>0</v>
      </c>
      <c r="J15" s="3">
        <f t="shared" ref="J15" si="55">F15*G15</f>
        <v>0</v>
      </c>
      <c r="K15" s="3">
        <v>0</v>
      </c>
      <c r="L15" s="5">
        <v>1.5</v>
      </c>
      <c r="M15" s="5">
        <v>1.5</v>
      </c>
      <c r="N15" s="3">
        <v>130</v>
      </c>
      <c r="O15" s="3">
        <v>160</v>
      </c>
      <c r="P15" s="5">
        <v>40</v>
      </c>
      <c r="Q15" s="3">
        <v>0</v>
      </c>
      <c r="R15" s="3">
        <f t="shared" ref="R15" si="56">J15+K15+(N15*L15)+(O15*M15)+Q15+I15</f>
        <v>435</v>
      </c>
      <c r="S15" s="3">
        <f t="shared" ref="S15" si="57">R15/P15</f>
        <v>10.875</v>
      </c>
      <c r="T15" s="4">
        <f t="shared" si="16"/>
        <v>435</v>
      </c>
      <c r="U15" s="4">
        <f t="shared" si="17"/>
        <v>157.035</v>
      </c>
      <c r="V15" s="3">
        <f t="shared" ref="V15" si="58">X15*AA15</f>
        <v>105</v>
      </c>
      <c r="W15" s="3">
        <v>28</v>
      </c>
      <c r="X15" s="1">
        <f t="shared" ref="X15" si="59">G15+L15+M15</f>
        <v>3</v>
      </c>
      <c r="Y15" s="3">
        <f t="shared" ref="Y15" si="60">(X15*AB15)+(K15*0.85)+(I15*0.85)</f>
        <v>345</v>
      </c>
      <c r="Z15" s="3">
        <f t="shared" ref="Z15" si="61">(X15*AC15)+(K15*0.85)+(I15*0.85)</f>
        <v>390</v>
      </c>
      <c r="AA15" s="2">
        <v>35</v>
      </c>
      <c r="AB15" s="2">
        <v>115</v>
      </c>
      <c r="AC15" s="16">
        <v>130</v>
      </c>
      <c r="AD15" s="3">
        <f t="shared" ref="AD15" si="62">Y15/X15</f>
        <v>115</v>
      </c>
      <c r="AE15" s="3">
        <f t="shared" ref="AE15" si="63">Z15/X15</f>
        <v>130</v>
      </c>
      <c r="AF15" s="15">
        <f t="shared" ref="AF15" si="64">Y15/T15</f>
        <v>0.7931034482758621</v>
      </c>
      <c r="AG15" s="15">
        <f t="shared" ref="AG15" si="65">Z15/T15</f>
        <v>0.89655172413793105</v>
      </c>
      <c r="AH15" s="15">
        <f t="shared" ref="AH15" si="66">V15/T15</f>
        <v>0.2413793103448276</v>
      </c>
    </row>
    <row r="16" spans="1:34" x14ac:dyDescent="0.25">
      <c r="A16" s="2"/>
      <c r="B16" s="2"/>
      <c r="C16" s="2"/>
      <c r="D16" s="42"/>
      <c r="E16" s="8"/>
      <c r="F16" s="6">
        <v>170</v>
      </c>
      <c r="G16" s="7">
        <f t="shared" si="41"/>
        <v>0</v>
      </c>
      <c r="H16" s="6">
        <v>75</v>
      </c>
      <c r="I16" s="3">
        <v>0</v>
      </c>
      <c r="J16" s="3">
        <f t="shared" si="42"/>
        <v>0</v>
      </c>
      <c r="K16" s="3">
        <v>0</v>
      </c>
      <c r="L16" s="5">
        <v>1.5</v>
      </c>
      <c r="M16" s="5">
        <v>1.5</v>
      </c>
      <c r="N16" s="3">
        <v>130</v>
      </c>
      <c r="O16" s="3">
        <v>160</v>
      </c>
      <c r="P16" s="5">
        <v>28</v>
      </c>
      <c r="Q16" s="3">
        <v>0</v>
      </c>
      <c r="R16" s="3">
        <f t="shared" si="43"/>
        <v>435</v>
      </c>
      <c r="S16" s="3">
        <f t="shared" si="44"/>
        <v>15.535714285714286</v>
      </c>
      <c r="T16" s="4">
        <f>S16*P16</f>
        <v>435</v>
      </c>
      <c r="U16" s="4">
        <f t="shared" si="17"/>
        <v>157.035</v>
      </c>
      <c r="V16" s="3">
        <f t="shared" si="45"/>
        <v>105</v>
      </c>
      <c r="W16" s="3">
        <v>28</v>
      </c>
      <c r="X16" s="1">
        <f t="shared" si="46"/>
        <v>3</v>
      </c>
      <c r="Y16" s="3">
        <f t="shared" si="47"/>
        <v>345</v>
      </c>
      <c r="Z16" s="3">
        <f t="shared" si="48"/>
        <v>390</v>
      </c>
      <c r="AA16" s="2">
        <v>35</v>
      </c>
      <c r="AB16" s="2">
        <v>115</v>
      </c>
      <c r="AC16" s="16">
        <v>130</v>
      </c>
      <c r="AD16" s="3">
        <f t="shared" si="49"/>
        <v>115</v>
      </c>
      <c r="AE16" s="3">
        <f t="shared" si="50"/>
        <v>130</v>
      </c>
      <c r="AF16" s="15">
        <f t="shared" si="51"/>
        <v>0.7931034482758621</v>
      </c>
      <c r="AG16" s="15">
        <f t="shared" si="52"/>
        <v>0.89655172413793105</v>
      </c>
      <c r="AH16" s="15">
        <f t="shared" si="53"/>
        <v>0.2413793103448276</v>
      </c>
    </row>
    <row r="17" spans="1:34" x14ac:dyDescent="0.25">
      <c r="A17" s="2"/>
      <c r="B17" s="2"/>
      <c r="C17" s="2"/>
      <c r="D17" s="42"/>
      <c r="E17" s="8"/>
      <c r="F17" s="6">
        <v>170</v>
      </c>
      <c r="G17" s="7">
        <f t="shared" ref="G17:G18" si="67">(E17*2)/H17</f>
        <v>0</v>
      </c>
      <c r="H17" s="6">
        <v>75</v>
      </c>
      <c r="I17" s="3">
        <v>0</v>
      </c>
      <c r="J17" s="3">
        <f t="shared" ref="J17:J18" si="68">F17*G17</f>
        <v>0</v>
      </c>
      <c r="K17" s="3">
        <v>0</v>
      </c>
      <c r="L17" s="5">
        <v>1.3</v>
      </c>
      <c r="M17" s="5">
        <v>1.5</v>
      </c>
      <c r="N17" s="3">
        <v>130</v>
      </c>
      <c r="O17" s="3">
        <v>160</v>
      </c>
      <c r="P17" s="5">
        <v>40</v>
      </c>
      <c r="Q17" s="3">
        <v>0</v>
      </c>
      <c r="R17" s="3">
        <f t="shared" ref="R17:R18" si="69">J17+K17+(N17*L17)+(O17*M17)+Q17+I17</f>
        <v>409</v>
      </c>
      <c r="S17" s="3">
        <f t="shared" ref="S17:S18" si="70">R17/P17</f>
        <v>10.225</v>
      </c>
      <c r="T17" s="4">
        <f t="shared" si="16"/>
        <v>409</v>
      </c>
      <c r="U17" s="4">
        <f t="shared" si="17"/>
        <v>158.19535714285715</v>
      </c>
      <c r="V17" s="3">
        <f t="shared" ref="V17:V18" si="71">X17*AA17</f>
        <v>98</v>
      </c>
      <c r="W17" s="3">
        <v>28</v>
      </c>
      <c r="X17" s="1">
        <f t="shared" ref="X17:X18" si="72">G17+L17+M17</f>
        <v>2.8</v>
      </c>
      <c r="Y17" s="3">
        <f t="shared" ref="Y17:Y18" si="73">(X17*AB17)+(K17*0.85)+(I17*0.85)</f>
        <v>322</v>
      </c>
      <c r="Z17" s="3">
        <f t="shared" ref="Z17:Z18" si="74">(X17*AC17)+(K17*0.85)+(I17*0.85)</f>
        <v>364</v>
      </c>
      <c r="AA17" s="2">
        <v>35</v>
      </c>
      <c r="AB17" s="2">
        <v>115</v>
      </c>
      <c r="AC17" s="16">
        <v>130</v>
      </c>
      <c r="AD17" s="3">
        <f t="shared" ref="AD17:AD18" si="75">Y17/X17</f>
        <v>115.00000000000001</v>
      </c>
      <c r="AE17" s="3">
        <f t="shared" ref="AE17:AE18" si="76">Z17/X17</f>
        <v>130</v>
      </c>
      <c r="AF17" s="15">
        <f t="shared" ref="AF17:AF18" si="77">Y17/T17</f>
        <v>0.78728606356968212</v>
      </c>
      <c r="AG17" s="15">
        <f t="shared" ref="AG17:AG18" si="78">Z17/T17</f>
        <v>0.88997555012224938</v>
      </c>
      <c r="AH17" s="15">
        <f t="shared" ref="AH17:AH18" si="79">V17/T17</f>
        <v>0.23960880195599021</v>
      </c>
    </row>
    <row r="18" spans="1:34" x14ac:dyDescent="0.25">
      <c r="A18" s="2"/>
      <c r="B18" s="2"/>
      <c r="C18" s="2"/>
      <c r="D18" s="42"/>
      <c r="E18" s="8"/>
      <c r="F18" s="6">
        <v>170</v>
      </c>
      <c r="G18" s="7">
        <f t="shared" si="67"/>
        <v>0</v>
      </c>
      <c r="H18" s="6">
        <v>75</v>
      </c>
      <c r="I18" s="3">
        <v>0</v>
      </c>
      <c r="J18" s="3">
        <f t="shared" si="68"/>
        <v>0</v>
      </c>
      <c r="K18" s="3">
        <v>0</v>
      </c>
      <c r="L18" s="5">
        <v>1.5</v>
      </c>
      <c r="M18" s="5">
        <v>1.5</v>
      </c>
      <c r="N18" s="3">
        <v>130</v>
      </c>
      <c r="O18" s="3">
        <v>160</v>
      </c>
      <c r="P18" s="5">
        <v>28</v>
      </c>
      <c r="Q18" s="3">
        <v>0</v>
      </c>
      <c r="R18" s="3">
        <f t="shared" si="69"/>
        <v>435</v>
      </c>
      <c r="S18" s="3">
        <f t="shared" si="70"/>
        <v>15.535714285714286</v>
      </c>
      <c r="T18" s="4">
        <f t="shared" si="16"/>
        <v>435</v>
      </c>
      <c r="U18" s="4">
        <f t="shared" si="17"/>
        <v>157.035</v>
      </c>
      <c r="V18" s="3">
        <f t="shared" si="71"/>
        <v>105</v>
      </c>
      <c r="W18" s="3">
        <v>28</v>
      </c>
      <c r="X18" s="1">
        <f t="shared" si="72"/>
        <v>3</v>
      </c>
      <c r="Y18" s="3">
        <f t="shared" si="73"/>
        <v>345</v>
      </c>
      <c r="Z18" s="3">
        <f t="shared" si="74"/>
        <v>390</v>
      </c>
      <c r="AA18" s="2">
        <v>35</v>
      </c>
      <c r="AB18" s="2">
        <v>115</v>
      </c>
      <c r="AC18" s="16">
        <v>130</v>
      </c>
      <c r="AD18" s="3">
        <f t="shared" si="75"/>
        <v>115</v>
      </c>
      <c r="AE18" s="3">
        <f t="shared" si="76"/>
        <v>130</v>
      </c>
      <c r="AF18" s="15">
        <f t="shared" si="77"/>
        <v>0.7931034482758621</v>
      </c>
      <c r="AG18" s="15">
        <f t="shared" si="78"/>
        <v>0.89655172413793105</v>
      </c>
      <c r="AH18" s="15">
        <f t="shared" si="79"/>
        <v>0.2413793103448276</v>
      </c>
    </row>
    <row r="19" spans="1:34" x14ac:dyDescent="0.25">
      <c r="A19" s="2"/>
      <c r="B19" s="2"/>
      <c r="C19" s="2"/>
      <c r="D19" s="42"/>
      <c r="E19" s="8"/>
      <c r="F19" s="6">
        <v>170</v>
      </c>
      <c r="G19" s="7">
        <f t="shared" ref="G19:G23" si="80">(E19*2)/H19</f>
        <v>0</v>
      </c>
      <c r="H19" s="6">
        <v>75</v>
      </c>
      <c r="I19" s="3">
        <f>(J19*0)</f>
        <v>0</v>
      </c>
      <c r="J19" s="3">
        <f t="shared" ref="J19:J23" si="81">F19*G19</f>
        <v>0</v>
      </c>
      <c r="K19" s="3">
        <v>0</v>
      </c>
      <c r="L19" s="5">
        <v>1.5</v>
      </c>
      <c r="M19" s="5">
        <v>1.5</v>
      </c>
      <c r="N19" s="3">
        <v>130</v>
      </c>
      <c r="O19" s="3">
        <v>160</v>
      </c>
      <c r="P19" s="5">
        <v>28</v>
      </c>
      <c r="Q19" s="3">
        <v>0</v>
      </c>
      <c r="R19" s="3">
        <f t="shared" ref="R19:R23" si="82">J19+K19+(N19*L19)+(O19*M19)+Q19+I19</f>
        <v>435</v>
      </c>
      <c r="S19" s="3">
        <f t="shared" ref="S19:S23" si="83">R19/P19</f>
        <v>15.535714285714286</v>
      </c>
      <c r="T19" s="4">
        <f t="shared" si="16"/>
        <v>435</v>
      </c>
      <c r="U19" s="4">
        <f t="shared" si="17"/>
        <v>157.035</v>
      </c>
      <c r="V19" s="3">
        <f t="shared" ref="V19:V23" si="84">X19*AA19</f>
        <v>105</v>
      </c>
      <c r="W19" s="3">
        <v>28</v>
      </c>
      <c r="X19" s="1">
        <f t="shared" ref="X19:X23" si="85">G19+L19+M19</f>
        <v>3</v>
      </c>
      <c r="Y19" s="3">
        <f t="shared" ref="Y19:Y23" si="86">(X19*AB19)+(K19*0.85)+(I19*0.85)</f>
        <v>345</v>
      </c>
      <c r="Z19" s="3">
        <f t="shared" ref="Z19:Z23" si="87">(X19*AC19)+(K19*0.85)+(I19*0.85)</f>
        <v>390</v>
      </c>
      <c r="AA19" s="2">
        <v>35</v>
      </c>
      <c r="AB19" s="2">
        <v>115</v>
      </c>
      <c r="AC19" s="16">
        <v>130</v>
      </c>
      <c r="AD19" s="3">
        <f t="shared" ref="AD19:AD23" si="88">Y19/X19</f>
        <v>115</v>
      </c>
      <c r="AE19" s="3">
        <f t="shared" ref="AE19:AE23" si="89">Z19/X19</f>
        <v>130</v>
      </c>
      <c r="AF19" s="15">
        <f t="shared" ref="AF19:AF23" si="90">Y19/T19</f>
        <v>0.7931034482758621</v>
      </c>
      <c r="AG19" s="15">
        <f t="shared" ref="AG19:AG23" si="91">Z19/T19</f>
        <v>0.89655172413793105</v>
      </c>
      <c r="AH19" s="15">
        <f t="shared" ref="AH19:AH23" si="92">V19/T19</f>
        <v>0.2413793103448276</v>
      </c>
    </row>
    <row r="20" spans="1:34" x14ac:dyDescent="0.25">
      <c r="A20" s="2"/>
      <c r="B20" s="2"/>
      <c r="C20" s="2"/>
      <c r="D20" s="42"/>
      <c r="E20" s="8"/>
      <c r="F20" s="6">
        <v>170</v>
      </c>
      <c r="G20" s="7">
        <f t="shared" si="80"/>
        <v>0</v>
      </c>
      <c r="H20" s="6">
        <v>75</v>
      </c>
      <c r="I20" s="3">
        <f t="shared" ref="I20:I22" si="93">(J20*0)</f>
        <v>0</v>
      </c>
      <c r="J20" s="3">
        <f t="shared" si="81"/>
        <v>0</v>
      </c>
      <c r="K20" s="3">
        <v>0</v>
      </c>
      <c r="L20" s="5">
        <v>1.5</v>
      </c>
      <c r="M20" s="5">
        <v>1.5</v>
      </c>
      <c r="N20" s="3">
        <v>130</v>
      </c>
      <c r="O20" s="3">
        <v>160</v>
      </c>
      <c r="P20" s="5">
        <v>28</v>
      </c>
      <c r="Q20" s="3">
        <v>0</v>
      </c>
      <c r="R20" s="3">
        <f t="shared" si="82"/>
        <v>435</v>
      </c>
      <c r="S20" s="3">
        <f t="shared" si="83"/>
        <v>15.535714285714286</v>
      </c>
      <c r="T20" s="4">
        <f t="shared" si="16"/>
        <v>435</v>
      </c>
      <c r="U20" s="4">
        <f t="shared" si="17"/>
        <v>157.035</v>
      </c>
      <c r="V20" s="3">
        <f t="shared" si="84"/>
        <v>105</v>
      </c>
      <c r="W20" s="3">
        <v>28</v>
      </c>
      <c r="X20" s="1">
        <f t="shared" si="85"/>
        <v>3</v>
      </c>
      <c r="Y20" s="3">
        <f t="shared" si="86"/>
        <v>345</v>
      </c>
      <c r="Z20" s="3">
        <f t="shared" si="87"/>
        <v>390</v>
      </c>
      <c r="AA20" s="2">
        <v>35</v>
      </c>
      <c r="AB20" s="2">
        <v>115</v>
      </c>
      <c r="AC20" s="16">
        <v>130</v>
      </c>
      <c r="AD20" s="3">
        <f t="shared" si="88"/>
        <v>115</v>
      </c>
      <c r="AE20" s="3">
        <f t="shared" si="89"/>
        <v>130</v>
      </c>
      <c r="AF20" s="15">
        <f t="shared" si="90"/>
        <v>0.7931034482758621</v>
      </c>
      <c r="AG20" s="15">
        <f t="shared" si="91"/>
        <v>0.89655172413793105</v>
      </c>
      <c r="AH20" s="15">
        <f t="shared" si="92"/>
        <v>0.2413793103448276</v>
      </c>
    </row>
    <row r="21" spans="1:34" x14ac:dyDescent="0.25">
      <c r="A21" s="2"/>
      <c r="B21" s="2"/>
      <c r="C21" s="2"/>
      <c r="D21" s="2"/>
      <c r="E21" s="8"/>
      <c r="F21" s="6">
        <v>170</v>
      </c>
      <c r="G21" s="7">
        <f t="shared" si="80"/>
        <v>0</v>
      </c>
      <c r="H21" s="6">
        <v>75</v>
      </c>
      <c r="I21" s="3">
        <f t="shared" si="93"/>
        <v>0</v>
      </c>
      <c r="J21" s="3">
        <f t="shared" si="81"/>
        <v>0</v>
      </c>
      <c r="K21" s="3">
        <v>0</v>
      </c>
      <c r="L21" s="5">
        <v>1.5</v>
      </c>
      <c r="M21" s="5">
        <v>1.5</v>
      </c>
      <c r="N21" s="3">
        <v>130</v>
      </c>
      <c r="O21" s="3">
        <v>160</v>
      </c>
      <c r="P21" s="5">
        <v>28</v>
      </c>
      <c r="Q21" s="3">
        <v>0</v>
      </c>
      <c r="R21" s="3">
        <f t="shared" si="82"/>
        <v>435</v>
      </c>
      <c r="S21" s="3">
        <f t="shared" si="83"/>
        <v>15.535714285714286</v>
      </c>
      <c r="T21" s="4">
        <f t="shared" si="16"/>
        <v>435</v>
      </c>
      <c r="U21" s="4">
        <f t="shared" si="17"/>
        <v>157.035</v>
      </c>
      <c r="V21" s="3">
        <f t="shared" si="84"/>
        <v>105</v>
      </c>
      <c r="W21" s="3">
        <v>28</v>
      </c>
      <c r="X21" s="1">
        <f t="shared" si="85"/>
        <v>3</v>
      </c>
      <c r="Y21" s="3">
        <f t="shared" si="86"/>
        <v>345</v>
      </c>
      <c r="Z21" s="3">
        <f t="shared" si="87"/>
        <v>390</v>
      </c>
      <c r="AA21" s="2">
        <v>35</v>
      </c>
      <c r="AB21" s="2">
        <v>115</v>
      </c>
      <c r="AC21" s="16">
        <v>130</v>
      </c>
      <c r="AD21" s="3">
        <f t="shared" si="88"/>
        <v>115</v>
      </c>
      <c r="AE21" s="3">
        <f t="shared" si="89"/>
        <v>130</v>
      </c>
      <c r="AF21" s="15">
        <f t="shared" si="90"/>
        <v>0.7931034482758621</v>
      </c>
      <c r="AG21" s="15">
        <f t="shared" si="91"/>
        <v>0.89655172413793105</v>
      </c>
      <c r="AH21" s="15">
        <f t="shared" si="92"/>
        <v>0.2413793103448276</v>
      </c>
    </row>
    <row r="22" spans="1:34" x14ac:dyDescent="0.25">
      <c r="A22" s="2"/>
      <c r="B22" s="2"/>
      <c r="C22" s="2"/>
      <c r="D22" s="2"/>
      <c r="E22" s="8"/>
      <c r="F22" s="6">
        <v>170</v>
      </c>
      <c r="G22" s="7">
        <f t="shared" si="80"/>
        <v>0</v>
      </c>
      <c r="H22" s="6">
        <v>75</v>
      </c>
      <c r="I22" s="3">
        <f t="shared" si="93"/>
        <v>0</v>
      </c>
      <c r="J22" s="3">
        <f t="shared" si="81"/>
        <v>0</v>
      </c>
      <c r="K22" s="3">
        <v>0</v>
      </c>
      <c r="L22" s="5">
        <v>1.5</v>
      </c>
      <c r="M22" s="5">
        <v>1.5</v>
      </c>
      <c r="N22" s="3">
        <v>130</v>
      </c>
      <c r="O22" s="3">
        <v>160</v>
      </c>
      <c r="P22" s="5">
        <v>28</v>
      </c>
      <c r="Q22" s="3">
        <v>0</v>
      </c>
      <c r="R22" s="3">
        <f t="shared" si="82"/>
        <v>435</v>
      </c>
      <c r="S22" s="3">
        <f t="shared" si="83"/>
        <v>15.535714285714286</v>
      </c>
      <c r="T22" s="4">
        <f t="shared" si="16"/>
        <v>435</v>
      </c>
      <c r="U22" s="4">
        <f t="shared" si="17"/>
        <v>157.035</v>
      </c>
      <c r="V22" s="3">
        <f t="shared" si="84"/>
        <v>105</v>
      </c>
      <c r="W22" s="3">
        <v>28</v>
      </c>
      <c r="X22" s="1">
        <f t="shared" si="85"/>
        <v>3</v>
      </c>
      <c r="Y22" s="3">
        <f t="shared" si="86"/>
        <v>345</v>
      </c>
      <c r="Z22" s="3">
        <f t="shared" si="87"/>
        <v>390</v>
      </c>
      <c r="AA22" s="2">
        <v>35</v>
      </c>
      <c r="AB22" s="2">
        <v>115</v>
      </c>
      <c r="AC22" s="16">
        <v>130</v>
      </c>
      <c r="AD22" s="3">
        <f t="shared" si="88"/>
        <v>115</v>
      </c>
      <c r="AE22" s="3">
        <f t="shared" si="89"/>
        <v>130</v>
      </c>
      <c r="AF22" s="15">
        <f t="shared" si="90"/>
        <v>0.7931034482758621</v>
      </c>
      <c r="AG22" s="15">
        <f t="shared" si="91"/>
        <v>0.89655172413793105</v>
      </c>
      <c r="AH22" s="15">
        <f t="shared" si="92"/>
        <v>0.2413793103448276</v>
      </c>
    </row>
    <row r="23" spans="1:34" x14ac:dyDescent="0.25">
      <c r="A23" s="2"/>
      <c r="B23" s="2"/>
      <c r="C23" s="2"/>
      <c r="D23" s="2"/>
      <c r="E23" s="8"/>
      <c r="F23" s="6">
        <v>170</v>
      </c>
      <c r="G23" s="7">
        <f t="shared" si="80"/>
        <v>0</v>
      </c>
      <c r="H23" s="6">
        <v>75</v>
      </c>
      <c r="I23" s="3">
        <f>(J23*0)</f>
        <v>0</v>
      </c>
      <c r="J23" s="3">
        <f t="shared" si="81"/>
        <v>0</v>
      </c>
      <c r="K23" s="3">
        <v>0</v>
      </c>
      <c r="L23" s="5">
        <v>1.3</v>
      </c>
      <c r="M23" s="5">
        <v>1.5</v>
      </c>
      <c r="N23" s="3">
        <v>130</v>
      </c>
      <c r="O23" s="3">
        <v>160</v>
      </c>
      <c r="P23" s="5">
        <v>30</v>
      </c>
      <c r="Q23" s="3">
        <v>0</v>
      </c>
      <c r="R23" s="3">
        <f t="shared" si="82"/>
        <v>409</v>
      </c>
      <c r="S23" s="3">
        <f t="shared" si="83"/>
        <v>13.633333333333333</v>
      </c>
      <c r="T23" s="4">
        <f t="shared" ref="T23" si="94">S23*P23</f>
        <v>409</v>
      </c>
      <c r="U23" s="4">
        <f t="shared" si="17"/>
        <v>158.19535714285715</v>
      </c>
      <c r="V23" s="3">
        <f t="shared" si="84"/>
        <v>98</v>
      </c>
      <c r="W23" s="3">
        <v>28</v>
      </c>
      <c r="X23" s="1">
        <f t="shared" si="85"/>
        <v>2.8</v>
      </c>
      <c r="Y23" s="3">
        <f t="shared" si="86"/>
        <v>322</v>
      </c>
      <c r="Z23" s="3">
        <f t="shared" si="87"/>
        <v>364</v>
      </c>
      <c r="AA23" s="2">
        <v>35</v>
      </c>
      <c r="AB23" s="2">
        <v>115</v>
      </c>
      <c r="AC23" s="16">
        <v>130</v>
      </c>
      <c r="AD23" s="3">
        <f t="shared" si="88"/>
        <v>115.00000000000001</v>
      </c>
      <c r="AE23" s="3">
        <f t="shared" si="89"/>
        <v>130</v>
      </c>
      <c r="AF23" s="15">
        <f t="shared" si="90"/>
        <v>0.78728606356968212</v>
      </c>
      <c r="AG23" s="15">
        <f t="shared" si="91"/>
        <v>0.88997555012224938</v>
      </c>
      <c r="AH23" s="15">
        <f t="shared" si="92"/>
        <v>0.23960880195599021</v>
      </c>
    </row>
    <row r="24" spans="1:34" x14ac:dyDescent="0.25">
      <c r="D24" s="10"/>
      <c r="E24" s="39"/>
      <c r="F24" s="13"/>
      <c r="G24" s="35"/>
      <c r="H24" s="13"/>
      <c r="I24" s="36"/>
      <c r="J24" s="36"/>
      <c r="K24" s="36"/>
      <c r="L24" s="25"/>
      <c r="M24" s="25"/>
      <c r="N24" s="40"/>
      <c r="O24" s="40"/>
      <c r="P24" s="25"/>
      <c r="Q24" s="40"/>
      <c r="R24" s="40"/>
      <c r="S24" s="40"/>
      <c r="T24" s="40"/>
      <c r="U24" s="40"/>
      <c r="V24" s="36"/>
      <c r="W24" s="36"/>
      <c r="X24" s="11"/>
      <c r="Y24" s="36"/>
      <c r="Z24" s="36"/>
      <c r="AA24" s="10"/>
      <c r="AB24" s="10"/>
      <c r="AC24" s="10"/>
      <c r="AD24" s="36"/>
      <c r="AE24" s="36"/>
      <c r="AF24" s="37"/>
      <c r="AG24" s="37"/>
      <c r="AH24" s="37"/>
    </row>
    <row r="25" spans="1:34" x14ac:dyDescent="0.25">
      <c r="D25" s="10"/>
      <c r="E25" s="38"/>
      <c r="F25" s="13"/>
      <c r="G25" s="35"/>
      <c r="H25" s="13"/>
      <c r="I25" s="36"/>
      <c r="J25" s="36"/>
      <c r="K25" s="36"/>
      <c r="L25" s="25"/>
      <c r="M25" s="25"/>
      <c r="N25" s="40"/>
      <c r="O25" s="40"/>
      <c r="P25" s="25"/>
      <c r="Q25" s="40"/>
      <c r="R25" s="40"/>
      <c r="S25" s="40"/>
      <c r="T25" s="40"/>
      <c r="U25" s="40"/>
      <c r="V25" s="36"/>
      <c r="W25" s="36"/>
      <c r="X25" s="11"/>
      <c r="Y25" s="36"/>
      <c r="Z25" s="36"/>
      <c r="AA25" s="10"/>
      <c r="AB25" s="10"/>
      <c r="AC25" s="10"/>
      <c r="AD25" s="36"/>
      <c r="AE25" s="36"/>
      <c r="AF25" s="37"/>
      <c r="AG25" s="37"/>
      <c r="AH25" s="37"/>
    </row>
    <row r="26" spans="1:34" x14ac:dyDescent="0.25">
      <c r="A26" s="51" t="str">
        <f>A1</f>
        <v>Various</v>
      </c>
      <c r="B26" s="52"/>
      <c r="C26" s="52"/>
      <c r="D26" s="52"/>
      <c r="E26" s="52"/>
      <c r="F26" s="53"/>
      <c r="I26" s="31"/>
    </row>
    <row r="27" spans="1:34" x14ac:dyDescent="0.25">
      <c r="A27" s="45" t="s">
        <v>21</v>
      </c>
      <c r="B27" s="45" t="s">
        <v>36</v>
      </c>
      <c r="C27" s="45" t="s">
        <v>45</v>
      </c>
      <c r="D27" s="45" t="s">
        <v>37</v>
      </c>
      <c r="E27" s="22" t="s">
        <v>49</v>
      </c>
      <c r="F27" s="22" t="s">
        <v>35</v>
      </c>
      <c r="G27" s="23" t="s">
        <v>22</v>
      </c>
      <c r="H27" s="23" t="s">
        <v>14</v>
      </c>
      <c r="I27" s="31"/>
    </row>
    <row r="28" spans="1:34" x14ac:dyDescent="0.25">
      <c r="A28" s="2" t="str">
        <f>A3</f>
        <v>Edmonton, AB</v>
      </c>
      <c r="B28" s="2" t="str">
        <f>B3</f>
        <v>Kearl Lake</v>
      </c>
      <c r="C28" s="2" t="str">
        <f>C3</f>
        <v>Super B</v>
      </c>
      <c r="D28" s="42" t="str">
        <f t="shared" ref="D28:D50" si="95">D3</f>
        <v>Glycol</v>
      </c>
      <c r="E28" s="41">
        <f>T3</f>
        <v>3348.5631666666668</v>
      </c>
      <c r="F28" s="34">
        <f t="shared" ref="F28:F29" si="96">E3</f>
        <v>571</v>
      </c>
      <c r="G28" s="19">
        <f t="shared" ref="G28:G29" si="97">V3</f>
        <v>619.70666666666671</v>
      </c>
      <c r="H28" s="19">
        <f t="shared" ref="H28:H29" si="98">Y3</f>
        <v>2187.1999999999998</v>
      </c>
      <c r="M28" s="25"/>
      <c r="N28" s="27"/>
      <c r="O28" s="28"/>
    </row>
    <row r="29" spans="1:34" x14ac:dyDescent="0.25">
      <c r="A29" s="2" t="str">
        <f t="shared" ref="A29:C44" si="99">A4</f>
        <v>Fort Saskatchewan, AB</v>
      </c>
      <c r="B29" s="2" t="str">
        <f>B4</f>
        <v>Kearl Lake</v>
      </c>
      <c r="C29" s="2" t="str">
        <f>C4</f>
        <v>Super B</v>
      </c>
      <c r="D29" s="42" t="str">
        <f t="shared" si="95"/>
        <v>Sulphuric</v>
      </c>
      <c r="E29" s="41">
        <f t="shared" ref="E29:E35" si="100">T4</f>
        <v>3187.9018333333333</v>
      </c>
      <c r="F29" s="34">
        <f t="shared" si="96"/>
        <v>539</v>
      </c>
      <c r="G29" s="19">
        <f t="shared" si="97"/>
        <v>590.69333333333338</v>
      </c>
      <c r="H29" s="19">
        <f t="shared" si="98"/>
        <v>2084.8000000000002</v>
      </c>
      <c r="M29" s="25"/>
      <c r="N29" s="27"/>
      <c r="O29" s="28"/>
    </row>
    <row r="30" spans="1:34" x14ac:dyDescent="0.25">
      <c r="A30" s="2" t="str">
        <f t="shared" si="99"/>
        <v>Edmonton, AB</v>
      </c>
      <c r="B30" s="2" t="str">
        <f t="shared" si="99"/>
        <v>Cold Lake</v>
      </c>
      <c r="C30" s="2" t="str">
        <f t="shared" si="99"/>
        <v>Super B</v>
      </c>
      <c r="D30" s="42" t="str">
        <f t="shared" si="95"/>
        <v>Caustic</v>
      </c>
      <c r="E30" s="41">
        <f t="shared" si="100"/>
        <v>2019</v>
      </c>
      <c r="F30" s="34">
        <f t="shared" ref="F30:F50" si="101">E5</f>
        <v>300</v>
      </c>
      <c r="G30" s="19">
        <f t="shared" ref="G30:G50" si="102">V5</f>
        <v>385</v>
      </c>
      <c r="H30" s="19">
        <f t="shared" ref="H30:H50" si="103">Y5</f>
        <v>1320</v>
      </c>
      <c r="M30" s="25"/>
      <c r="N30" s="27"/>
      <c r="O30" s="28"/>
    </row>
    <row r="31" spans="1:34" x14ac:dyDescent="0.25">
      <c r="A31" s="2" t="str">
        <f t="shared" si="99"/>
        <v>Edmonton, AB</v>
      </c>
      <c r="B31" s="2" t="str">
        <f t="shared" si="99"/>
        <v>Kearl Lake</v>
      </c>
      <c r="C31" s="2" t="str">
        <f t="shared" si="99"/>
        <v>Dry Van</v>
      </c>
      <c r="D31" s="42" t="str">
        <f t="shared" si="95"/>
        <v>Toluene</v>
      </c>
      <c r="E31" s="41">
        <f t="shared" si="100"/>
        <v>2248.4235294117648</v>
      </c>
      <c r="F31" s="34">
        <f t="shared" si="101"/>
        <v>571</v>
      </c>
      <c r="G31" s="19">
        <f t="shared" si="102"/>
        <v>540.23529411764707</v>
      </c>
      <c r="H31" s="19">
        <f t="shared" si="103"/>
        <v>1852.2352941176471</v>
      </c>
      <c r="M31" s="25"/>
      <c r="N31" s="27"/>
      <c r="O31" s="28"/>
    </row>
    <row r="32" spans="1:34" x14ac:dyDescent="0.25">
      <c r="A32" s="2" t="str">
        <f t="shared" si="99"/>
        <v>Brooks, AB</v>
      </c>
      <c r="B32" s="2" t="str">
        <f t="shared" si="99"/>
        <v>Cold Lake</v>
      </c>
      <c r="C32" s="2" t="str">
        <f t="shared" si="99"/>
        <v>Tridem</v>
      </c>
      <c r="D32" s="42" t="str">
        <f t="shared" si="95"/>
        <v>Calcium Chloride</v>
      </c>
      <c r="E32" s="41">
        <f t="shared" si="100"/>
        <v>3055.8</v>
      </c>
      <c r="F32" s="34">
        <f t="shared" si="101"/>
        <v>546</v>
      </c>
      <c r="G32" s="19">
        <f t="shared" si="102"/>
        <v>582.75</v>
      </c>
      <c r="H32" s="19">
        <f t="shared" si="103"/>
        <v>1997.9999999999998</v>
      </c>
      <c r="M32" s="25"/>
      <c r="N32" s="27"/>
      <c r="O32" s="28"/>
    </row>
    <row r="33" spans="1:15" x14ac:dyDescent="0.25">
      <c r="A33" s="2" t="str">
        <f t="shared" si="99"/>
        <v>Brooks, AB</v>
      </c>
      <c r="B33" s="2" t="str">
        <f t="shared" si="99"/>
        <v>Cold Lake</v>
      </c>
      <c r="C33" s="2" t="str">
        <f t="shared" si="99"/>
        <v>Super B</v>
      </c>
      <c r="D33" s="42" t="str">
        <f t="shared" si="95"/>
        <v>Calcium Chloride</v>
      </c>
      <c r="E33" s="41">
        <f t="shared" si="100"/>
        <v>3215.96</v>
      </c>
      <c r="F33" s="34">
        <f t="shared" si="101"/>
        <v>546</v>
      </c>
      <c r="G33" s="19">
        <f t="shared" si="102"/>
        <v>614.60000000000014</v>
      </c>
      <c r="H33" s="19">
        <f t="shared" si="103"/>
        <v>2107.2000000000003</v>
      </c>
      <c r="M33" s="25"/>
      <c r="N33" s="27"/>
      <c r="O33" s="28"/>
    </row>
    <row r="34" spans="1:15" x14ac:dyDescent="0.25">
      <c r="A34" s="2" t="str">
        <f t="shared" si="99"/>
        <v>Edmonton, AB</v>
      </c>
      <c r="B34" s="2" t="str">
        <f t="shared" si="99"/>
        <v>Kearl Lake</v>
      </c>
      <c r="C34" s="2" t="str">
        <f t="shared" si="99"/>
        <v>Tridem</v>
      </c>
      <c r="D34" s="42" t="str">
        <f t="shared" si="95"/>
        <v>Methyl Alcohol</v>
      </c>
      <c r="E34" s="41">
        <f t="shared" si="100"/>
        <v>3161.5250000000001</v>
      </c>
      <c r="F34" s="34">
        <f t="shared" si="101"/>
        <v>571</v>
      </c>
      <c r="G34" s="19">
        <f t="shared" si="102"/>
        <v>604.625</v>
      </c>
      <c r="H34" s="19">
        <f t="shared" si="103"/>
        <v>2073</v>
      </c>
      <c r="M34" s="25"/>
      <c r="N34" s="27"/>
      <c r="O34" s="28"/>
    </row>
    <row r="35" spans="1:15" x14ac:dyDescent="0.25">
      <c r="A35" s="2" t="str">
        <f t="shared" si="99"/>
        <v>Edmonton, AB</v>
      </c>
      <c r="B35" s="2" t="str">
        <f t="shared" si="99"/>
        <v>Kearl Lake</v>
      </c>
      <c r="C35" s="2" t="str">
        <f t="shared" si="99"/>
        <v>Super B</v>
      </c>
      <c r="D35" s="42" t="str">
        <f t="shared" si="95"/>
        <v>Methyl Alcohol</v>
      </c>
      <c r="E35" s="41">
        <f t="shared" si="100"/>
        <v>3343.2933333333335</v>
      </c>
      <c r="F35" s="34">
        <f t="shared" si="101"/>
        <v>571</v>
      </c>
      <c r="G35" s="19">
        <f t="shared" si="102"/>
        <v>637.93333333333328</v>
      </c>
      <c r="H35" s="19">
        <f t="shared" si="103"/>
        <v>2096.0666666666666</v>
      </c>
      <c r="M35" s="25"/>
      <c r="N35" s="27"/>
      <c r="O35" s="28"/>
    </row>
    <row r="36" spans="1:15" hidden="1" x14ac:dyDescent="0.25">
      <c r="A36" s="2">
        <f t="shared" si="99"/>
        <v>0</v>
      </c>
      <c r="B36" s="2">
        <f t="shared" si="99"/>
        <v>0</v>
      </c>
      <c r="C36" s="2">
        <f t="shared" si="99"/>
        <v>0</v>
      </c>
      <c r="D36" s="42">
        <f t="shared" si="95"/>
        <v>0</v>
      </c>
      <c r="E36" s="41">
        <f t="shared" ref="E36:E50" si="104">S11</f>
        <v>10.875</v>
      </c>
      <c r="F36" s="34">
        <f t="shared" si="101"/>
        <v>0</v>
      </c>
      <c r="G36" s="19">
        <f t="shared" si="102"/>
        <v>105</v>
      </c>
      <c r="H36" s="19">
        <f t="shared" si="103"/>
        <v>345</v>
      </c>
      <c r="M36" s="25"/>
      <c r="N36" s="27"/>
      <c r="O36" s="28"/>
    </row>
    <row r="37" spans="1:15" hidden="1" x14ac:dyDescent="0.25">
      <c r="A37" s="2">
        <f t="shared" si="99"/>
        <v>0</v>
      </c>
      <c r="B37" s="2">
        <f t="shared" si="99"/>
        <v>0</v>
      </c>
      <c r="C37" s="2">
        <f t="shared" si="99"/>
        <v>0</v>
      </c>
      <c r="D37" s="42">
        <f t="shared" si="95"/>
        <v>0</v>
      </c>
      <c r="E37" s="41">
        <f t="shared" si="104"/>
        <v>10.875</v>
      </c>
      <c r="F37" s="34">
        <f t="shared" si="101"/>
        <v>0</v>
      </c>
      <c r="G37" s="19">
        <f t="shared" si="102"/>
        <v>105</v>
      </c>
      <c r="H37" s="19">
        <f t="shared" si="103"/>
        <v>345</v>
      </c>
      <c r="M37" s="25"/>
      <c r="N37" s="27"/>
      <c r="O37" s="28"/>
    </row>
    <row r="38" spans="1:15" hidden="1" x14ac:dyDescent="0.25">
      <c r="A38" s="2">
        <f t="shared" si="99"/>
        <v>0</v>
      </c>
      <c r="B38" s="2">
        <f t="shared" si="99"/>
        <v>0</v>
      </c>
      <c r="C38" s="2">
        <f t="shared" si="99"/>
        <v>0</v>
      </c>
      <c r="D38" s="42">
        <f t="shared" si="95"/>
        <v>0</v>
      </c>
      <c r="E38" s="41">
        <f t="shared" si="104"/>
        <v>10.875</v>
      </c>
      <c r="F38" s="34">
        <f t="shared" si="101"/>
        <v>0</v>
      </c>
      <c r="G38" s="19">
        <f t="shared" si="102"/>
        <v>105</v>
      </c>
      <c r="H38" s="19">
        <f t="shared" si="103"/>
        <v>345</v>
      </c>
      <c r="M38" s="25"/>
      <c r="N38" s="27"/>
      <c r="O38" s="28"/>
    </row>
    <row r="39" spans="1:15" hidden="1" x14ac:dyDescent="0.25">
      <c r="A39" s="2">
        <f t="shared" si="99"/>
        <v>0</v>
      </c>
      <c r="B39" s="2">
        <f t="shared" si="99"/>
        <v>0</v>
      </c>
      <c r="C39" s="2">
        <f t="shared" si="99"/>
        <v>0</v>
      </c>
      <c r="D39" s="42">
        <f t="shared" si="95"/>
        <v>0</v>
      </c>
      <c r="E39" s="41">
        <f t="shared" si="104"/>
        <v>10.875</v>
      </c>
      <c r="F39" s="34">
        <f t="shared" si="101"/>
        <v>0</v>
      </c>
      <c r="G39" s="19">
        <f t="shared" si="102"/>
        <v>105</v>
      </c>
      <c r="H39" s="19">
        <f t="shared" si="103"/>
        <v>345</v>
      </c>
      <c r="M39" s="25"/>
      <c r="N39" s="27"/>
      <c r="O39" s="28"/>
    </row>
    <row r="40" spans="1:15" hidden="1" x14ac:dyDescent="0.25">
      <c r="A40" s="2">
        <f t="shared" si="99"/>
        <v>0</v>
      </c>
      <c r="B40" s="2">
        <f t="shared" si="99"/>
        <v>0</v>
      </c>
      <c r="C40" s="2">
        <f t="shared" si="99"/>
        <v>0</v>
      </c>
      <c r="D40" s="42">
        <f t="shared" si="95"/>
        <v>0</v>
      </c>
      <c r="E40" s="41">
        <f t="shared" si="104"/>
        <v>10.875</v>
      </c>
      <c r="F40" s="34">
        <f t="shared" si="101"/>
        <v>0</v>
      </c>
      <c r="G40" s="19">
        <f t="shared" si="102"/>
        <v>105</v>
      </c>
      <c r="H40" s="19">
        <f t="shared" si="103"/>
        <v>345</v>
      </c>
      <c r="M40" s="25"/>
      <c r="N40" s="27"/>
      <c r="O40" s="28"/>
    </row>
    <row r="41" spans="1:15" hidden="1" x14ac:dyDescent="0.25">
      <c r="A41" s="2">
        <f t="shared" si="99"/>
        <v>0</v>
      </c>
      <c r="B41" s="2">
        <f t="shared" si="99"/>
        <v>0</v>
      </c>
      <c r="C41" s="2">
        <f t="shared" si="99"/>
        <v>0</v>
      </c>
      <c r="D41" s="42">
        <f t="shared" si="95"/>
        <v>0</v>
      </c>
      <c r="E41" s="41">
        <f t="shared" si="104"/>
        <v>15.535714285714286</v>
      </c>
      <c r="F41" s="34">
        <f t="shared" si="101"/>
        <v>0</v>
      </c>
      <c r="G41" s="19">
        <f t="shared" si="102"/>
        <v>105</v>
      </c>
      <c r="H41" s="19">
        <f t="shared" si="103"/>
        <v>345</v>
      </c>
      <c r="M41" s="25"/>
      <c r="N41" s="27"/>
      <c r="O41" s="28"/>
    </row>
    <row r="42" spans="1:15" hidden="1" x14ac:dyDescent="0.25">
      <c r="A42" s="2">
        <f t="shared" si="99"/>
        <v>0</v>
      </c>
      <c r="B42" s="2">
        <f t="shared" si="99"/>
        <v>0</v>
      </c>
      <c r="C42" s="2">
        <f t="shared" si="99"/>
        <v>0</v>
      </c>
      <c r="D42" s="42">
        <f t="shared" si="95"/>
        <v>0</v>
      </c>
      <c r="E42" s="41">
        <f t="shared" si="104"/>
        <v>10.225</v>
      </c>
      <c r="F42" s="34">
        <f t="shared" si="101"/>
        <v>0</v>
      </c>
      <c r="G42" s="19">
        <f t="shared" si="102"/>
        <v>98</v>
      </c>
      <c r="H42" s="19">
        <f t="shared" si="103"/>
        <v>322</v>
      </c>
      <c r="M42" s="25"/>
      <c r="N42" s="27"/>
      <c r="O42" s="28"/>
    </row>
    <row r="43" spans="1:15" hidden="1" x14ac:dyDescent="0.25">
      <c r="A43" s="2">
        <f t="shared" si="99"/>
        <v>0</v>
      </c>
      <c r="B43" s="2">
        <f t="shared" si="99"/>
        <v>0</v>
      </c>
      <c r="C43" s="2">
        <f t="shared" si="99"/>
        <v>0</v>
      </c>
      <c r="D43" s="42">
        <f t="shared" si="95"/>
        <v>0</v>
      </c>
      <c r="E43" s="41">
        <f t="shared" si="104"/>
        <v>15.535714285714286</v>
      </c>
      <c r="F43" s="34">
        <f t="shared" si="101"/>
        <v>0</v>
      </c>
      <c r="G43" s="19">
        <f t="shared" si="102"/>
        <v>105</v>
      </c>
      <c r="H43" s="19">
        <f t="shared" si="103"/>
        <v>345</v>
      </c>
      <c r="M43" s="25"/>
      <c r="N43" s="27"/>
      <c r="O43" s="28"/>
    </row>
    <row r="44" spans="1:15" hidden="1" x14ac:dyDescent="0.25">
      <c r="A44" s="2">
        <f t="shared" si="99"/>
        <v>0</v>
      </c>
      <c r="B44" s="2">
        <f t="shared" si="99"/>
        <v>0</v>
      </c>
      <c r="C44" s="2">
        <f t="shared" si="99"/>
        <v>0</v>
      </c>
      <c r="D44" s="42">
        <f t="shared" si="95"/>
        <v>0</v>
      </c>
      <c r="E44" s="41">
        <f t="shared" si="104"/>
        <v>15.535714285714286</v>
      </c>
      <c r="F44" s="34">
        <f t="shared" si="101"/>
        <v>0</v>
      </c>
      <c r="G44" s="19">
        <f t="shared" si="102"/>
        <v>105</v>
      </c>
      <c r="H44" s="19">
        <f t="shared" si="103"/>
        <v>345</v>
      </c>
      <c r="M44" s="25"/>
      <c r="N44" s="27"/>
      <c r="O44" s="28"/>
    </row>
    <row r="45" spans="1:15" hidden="1" x14ac:dyDescent="0.25">
      <c r="A45" s="2">
        <f t="shared" ref="A45:C50" si="105">A20</f>
        <v>0</v>
      </c>
      <c r="B45" s="2">
        <f t="shared" si="105"/>
        <v>0</v>
      </c>
      <c r="C45" s="2">
        <f t="shared" si="105"/>
        <v>0</v>
      </c>
      <c r="D45" s="42">
        <f t="shared" si="95"/>
        <v>0</v>
      </c>
      <c r="E45" s="41">
        <f t="shared" si="104"/>
        <v>15.535714285714286</v>
      </c>
      <c r="F45" s="34">
        <f t="shared" si="101"/>
        <v>0</v>
      </c>
      <c r="G45" s="19">
        <f t="shared" si="102"/>
        <v>105</v>
      </c>
      <c r="H45" s="19">
        <f t="shared" si="103"/>
        <v>345</v>
      </c>
      <c r="M45" s="25"/>
      <c r="N45" s="27"/>
      <c r="O45" s="28"/>
    </row>
    <row r="46" spans="1:15" hidden="1" x14ac:dyDescent="0.25">
      <c r="A46" s="2">
        <f t="shared" si="105"/>
        <v>0</v>
      </c>
      <c r="B46" s="2">
        <f t="shared" si="105"/>
        <v>0</v>
      </c>
      <c r="C46" s="2">
        <f t="shared" si="105"/>
        <v>0</v>
      </c>
      <c r="D46" s="42">
        <f t="shared" si="95"/>
        <v>0</v>
      </c>
      <c r="E46" s="41">
        <f t="shared" si="104"/>
        <v>15.535714285714286</v>
      </c>
      <c r="F46" s="34">
        <f t="shared" si="101"/>
        <v>0</v>
      </c>
      <c r="G46" s="19">
        <f t="shared" si="102"/>
        <v>105</v>
      </c>
      <c r="H46" s="19">
        <f t="shared" si="103"/>
        <v>345</v>
      </c>
      <c r="M46" s="25"/>
      <c r="N46" s="27"/>
      <c r="O46" s="28"/>
    </row>
    <row r="47" spans="1:15" hidden="1" x14ac:dyDescent="0.25">
      <c r="A47" s="2">
        <f t="shared" si="105"/>
        <v>0</v>
      </c>
      <c r="B47" s="2">
        <f t="shared" si="105"/>
        <v>0</v>
      </c>
      <c r="C47" s="2">
        <f t="shared" si="105"/>
        <v>0</v>
      </c>
      <c r="D47" s="42">
        <f t="shared" si="95"/>
        <v>0</v>
      </c>
      <c r="E47" s="41">
        <f t="shared" si="104"/>
        <v>15.535714285714286</v>
      </c>
      <c r="F47" s="34">
        <f t="shared" si="101"/>
        <v>0</v>
      </c>
      <c r="G47" s="19">
        <f t="shared" si="102"/>
        <v>105</v>
      </c>
      <c r="H47" s="19">
        <f t="shared" si="103"/>
        <v>345</v>
      </c>
      <c r="M47" s="25"/>
      <c r="N47" s="27"/>
      <c r="O47" s="28"/>
    </row>
    <row r="48" spans="1:15" hidden="1" x14ac:dyDescent="0.25">
      <c r="A48" s="2">
        <f t="shared" si="105"/>
        <v>0</v>
      </c>
      <c r="B48" s="2">
        <f t="shared" si="105"/>
        <v>0</v>
      </c>
      <c r="C48" s="2">
        <f t="shared" si="105"/>
        <v>0</v>
      </c>
      <c r="D48" s="42">
        <f t="shared" si="95"/>
        <v>0</v>
      </c>
      <c r="E48" s="41">
        <f t="shared" si="104"/>
        <v>13.633333333333333</v>
      </c>
      <c r="F48" s="34">
        <f t="shared" si="101"/>
        <v>0</v>
      </c>
      <c r="G48" s="19">
        <f t="shared" si="102"/>
        <v>98</v>
      </c>
      <c r="H48" s="19">
        <f t="shared" si="103"/>
        <v>322</v>
      </c>
      <c r="M48" s="25"/>
      <c r="N48" s="27"/>
      <c r="O48" s="28"/>
    </row>
    <row r="49" spans="1:15" hidden="1" x14ac:dyDescent="0.25">
      <c r="A49" s="2">
        <f t="shared" si="105"/>
        <v>0</v>
      </c>
      <c r="B49" s="2">
        <f t="shared" si="105"/>
        <v>0</v>
      </c>
      <c r="C49" s="2">
        <f t="shared" si="105"/>
        <v>0</v>
      </c>
      <c r="D49" s="42">
        <f t="shared" si="95"/>
        <v>0</v>
      </c>
      <c r="E49" s="41">
        <f t="shared" si="104"/>
        <v>0</v>
      </c>
      <c r="F49" s="34">
        <f t="shared" si="101"/>
        <v>0</v>
      </c>
      <c r="G49" s="19">
        <f t="shared" si="102"/>
        <v>0</v>
      </c>
      <c r="H49" s="19">
        <f t="shared" si="103"/>
        <v>0</v>
      </c>
      <c r="M49" s="25"/>
      <c r="N49" s="27"/>
      <c r="O49" s="28"/>
    </row>
    <row r="50" spans="1:15" hidden="1" x14ac:dyDescent="0.25">
      <c r="A50" s="2">
        <f t="shared" si="105"/>
        <v>0</v>
      </c>
      <c r="B50" s="2">
        <f t="shared" si="105"/>
        <v>0</v>
      </c>
      <c r="C50" s="2">
        <f t="shared" si="105"/>
        <v>0</v>
      </c>
      <c r="D50" s="42">
        <f t="shared" si="95"/>
        <v>0</v>
      </c>
      <c r="E50" s="41">
        <f t="shared" si="104"/>
        <v>0</v>
      </c>
      <c r="F50" s="34">
        <f t="shared" si="101"/>
        <v>0</v>
      </c>
      <c r="G50" s="19">
        <f t="shared" si="102"/>
        <v>0</v>
      </c>
      <c r="H50" s="19">
        <f t="shared" si="103"/>
        <v>0</v>
      </c>
      <c r="M50" s="25"/>
      <c r="N50" s="27"/>
      <c r="O50" s="28"/>
    </row>
    <row r="51" spans="1:15" x14ac:dyDescent="0.25">
      <c r="D51" s="2"/>
      <c r="E51" s="19"/>
      <c r="F51" s="34"/>
      <c r="G51" s="19"/>
      <c r="H51" s="19"/>
      <c r="M51" s="25"/>
      <c r="N51" s="27"/>
      <c r="O51" s="28"/>
    </row>
    <row r="52" spans="1:15" x14ac:dyDescent="0.25">
      <c r="D52" s="2" t="s">
        <v>50</v>
      </c>
      <c r="E52" s="32"/>
      <c r="F52" s="3"/>
      <c r="G52" s="2"/>
      <c r="H52" s="2"/>
      <c r="M52" s="25"/>
      <c r="N52" s="27"/>
      <c r="O52" s="28"/>
    </row>
    <row r="53" spans="1:15" x14ac:dyDescent="0.25">
      <c r="D53" s="20" t="s">
        <v>26</v>
      </c>
      <c r="E53" s="21">
        <v>120</v>
      </c>
      <c r="F53" s="14" t="s">
        <v>51</v>
      </c>
      <c r="G53" s="19">
        <v>28</v>
      </c>
      <c r="H53" s="19">
        <v>90</v>
      </c>
      <c r="M53" s="26"/>
      <c r="N53" s="27"/>
      <c r="O53" s="29"/>
    </row>
    <row r="54" spans="1:15" x14ac:dyDescent="0.25">
      <c r="D54" s="20" t="s">
        <v>38</v>
      </c>
      <c r="E54" s="21">
        <v>120</v>
      </c>
      <c r="F54" s="14" t="s">
        <v>41</v>
      </c>
      <c r="G54" s="19">
        <v>28</v>
      </c>
      <c r="H54" s="19">
        <v>90</v>
      </c>
      <c r="M54" s="26"/>
      <c r="N54" s="27"/>
      <c r="O54" s="29"/>
    </row>
    <row r="55" spans="1:15" x14ac:dyDescent="0.25">
      <c r="D55" s="20" t="s">
        <v>39</v>
      </c>
      <c r="E55" s="21">
        <v>170</v>
      </c>
      <c r="F55" s="14" t="s">
        <v>42</v>
      </c>
      <c r="G55" s="19">
        <v>35</v>
      </c>
      <c r="H55" s="19">
        <v>90</v>
      </c>
      <c r="M55" s="26"/>
      <c r="N55" s="27"/>
      <c r="O55" s="29"/>
    </row>
    <row r="56" spans="1:15" x14ac:dyDescent="0.25">
      <c r="D56" s="20" t="s">
        <v>40</v>
      </c>
      <c r="E56" s="21">
        <v>500</v>
      </c>
      <c r="F56" s="14" t="s">
        <v>44</v>
      </c>
      <c r="G56" s="19">
        <v>200</v>
      </c>
      <c r="H56" s="19">
        <v>200</v>
      </c>
      <c r="M56" s="26"/>
      <c r="N56" s="27"/>
      <c r="O56" s="29"/>
    </row>
    <row r="57" spans="1:15" x14ac:dyDescent="0.25">
      <c r="D57" s="20" t="s">
        <v>33</v>
      </c>
      <c r="E57" s="44">
        <v>500</v>
      </c>
      <c r="F57" s="2">
        <v>1</v>
      </c>
      <c r="G57" s="21">
        <v>200</v>
      </c>
      <c r="H57" s="21">
        <v>200</v>
      </c>
      <c r="M57" s="26"/>
      <c r="N57" s="27"/>
      <c r="O57" s="28"/>
    </row>
    <row r="58" spans="1:15" x14ac:dyDescent="0.25">
      <c r="E58" s="24"/>
      <c r="M58" s="25"/>
      <c r="N58" s="25"/>
      <c r="O58" s="25"/>
    </row>
    <row r="63" spans="1:15" x14ac:dyDescent="0.25">
      <c r="E63" s="30"/>
      <c r="F63" s="24"/>
    </row>
    <row r="64" spans="1:15" x14ac:dyDescent="0.25">
      <c r="D64" s="33"/>
      <c r="E64" s="24"/>
    </row>
  </sheetData>
  <mergeCells count="5">
    <mergeCell ref="AA1:AC1"/>
    <mergeCell ref="AD1:AE1"/>
    <mergeCell ref="AF1:AH1"/>
    <mergeCell ref="A1:E1"/>
    <mergeCell ref="A26:F26"/>
  </mergeCells>
  <pageMargins left="0.7" right="0.7" top="0.75" bottom="0.75" header="0.3" footer="0.3"/>
  <pageSetup orientation="portrait" r:id="rId1"/>
  <ignoredErrors>
    <ignoredError sqref="F28:F35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Brown</dc:creator>
  <cp:lastModifiedBy>Jonathan Robert</cp:lastModifiedBy>
  <dcterms:created xsi:type="dcterms:W3CDTF">2020-02-25T20:31:25Z</dcterms:created>
  <dcterms:modified xsi:type="dcterms:W3CDTF">2025-08-15T16:20:08Z</dcterms:modified>
</cp:coreProperties>
</file>